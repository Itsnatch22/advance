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sonCrawford\Downloads\"/>
    </mc:Choice>
  </mc:AlternateContent>
  <xr:revisionPtr revIDLastSave="0" documentId="13_ncr:1_{46447B65-6231-431F-8981-20902464737E}" xr6:coauthVersionLast="47" xr6:coauthVersionMax="47" xr10:uidLastSave="{00000000-0000-0000-0000-000000000000}"/>
  <bookViews>
    <workbookView xWindow="-108" yWindow="-108" windowWidth="23256" windowHeight="12456" activeTab="4" xr2:uid="{00000000-000D-0000-FFFF-FFFF00000000}"/>
  </bookViews>
  <sheets>
    <sheet name="Notes" sheetId="5" r:id="rId1"/>
    <sheet name="Rates" sheetId="1" r:id="rId2"/>
    <sheet name="Inputs" sheetId="2" r:id="rId3"/>
    <sheet name="Workings" sheetId="3" r:id="rId4"/>
    <sheet name="Output"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6" l="1"/>
  <c r="B7" i="6"/>
  <c r="B8" i="6"/>
  <c r="B9" i="6"/>
  <c r="B6" i="6"/>
  <c r="B2" i="6"/>
  <c r="B3" i="6"/>
  <c r="B4" i="6"/>
  <c r="B33" i="3"/>
  <c r="B31" i="3"/>
  <c r="B20" i="1"/>
  <c r="B28" i="3"/>
  <c r="B4" i="3"/>
  <c r="B5" i="3"/>
  <c r="B14" i="3" s="1"/>
  <c r="B6" i="3"/>
  <c r="B7" i="3"/>
  <c r="B16" i="3" s="1"/>
  <c r="B8" i="3"/>
  <c r="B17" i="3" s="1"/>
  <c r="B9" i="3"/>
  <c r="B18" i="3" s="1"/>
  <c r="B10" i="3"/>
  <c r="B19" i="3" s="1"/>
  <c r="B11" i="3"/>
  <c r="B12" i="3"/>
  <c r="B3" i="3"/>
  <c r="B20" i="3" s="1"/>
  <c r="B2" i="3"/>
  <c r="D29" i="1"/>
  <c r="D28" i="1"/>
  <c r="D27" i="1"/>
  <c r="D26" i="1"/>
  <c r="B12" i="1"/>
  <c r="B15" i="3" l="1"/>
  <c r="B21" i="3"/>
  <c r="B29" i="3" s="1"/>
  <c r="B13" i="3"/>
  <c r="B23" i="3" l="1"/>
  <c r="B22" i="3"/>
  <c r="B25" i="3"/>
  <c r="B24" i="3"/>
  <c r="B26" i="3" l="1"/>
  <c r="B27" i="3" s="1"/>
  <c r="B30" i="3" s="1"/>
  <c r="B32" i="3" l="1"/>
  <c r="B34" i="3" l="1"/>
</calcChain>
</file>

<file path=xl/sharedStrings.xml><?xml version="1.0" encoding="utf-8"?>
<sst xmlns="http://schemas.openxmlformats.org/spreadsheetml/2006/main" count="203" uniqueCount="155">
  <si>
    <t>Personal_Relief</t>
  </si>
  <si>
    <t>KES / month</t>
  </si>
  <si>
    <t>Insurance_Relief</t>
  </si>
  <si>
    <t>KES / month (edit if applicable)</t>
  </si>
  <si>
    <t>Housing_Levy_Rate</t>
  </si>
  <si>
    <t>AHL as fraction of Gross (default 1.5%)</t>
  </si>
  <si>
    <t>SHIF_Flat_Rate</t>
  </si>
  <si>
    <t>If Use_SHIF_Table=FALSE, SHIF = Gross*rate</t>
  </si>
  <si>
    <t>Pension_Deductible_Cap</t>
  </si>
  <si>
    <t>NSSF_Tier1_Ceiling</t>
  </si>
  <si>
    <t>NSSF_Tier2_Ceiling</t>
  </si>
  <si>
    <t>NSSF_Employee_Rate</t>
  </si>
  <si>
    <t>PAYE_Tax_Bands</t>
  </si>
  <si>
    <t>Lower</t>
  </si>
  <si>
    <t>Upper</t>
  </si>
  <si>
    <t>Rate</t>
  </si>
  <si>
    <t>Employee</t>
  </si>
  <si>
    <t>Sample Employee</t>
  </si>
  <si>
    <t>Total_Income</t>
  </si>
  <si>
    <t>Taxable_Income</t>
  </si>
  <si>
    <t>PAYE_Before_Relief</t>
  </si>
  <si>
    <t>PAYE_After_Relief</t>
  </si>
  <si>
    <t>Net_Pay</t>
  </si>
  <si>
    <t>Meals_Deductible_Cap</t>
  </si>
  <si>
    <t>Monthly cap on deductible</t>
  </si>
  <si>
    <t>Night-Out_Deductible_Cap</t>
  </si>
  <si>
    <t>Daily cap on deductible</t>
  </si>
  <si>
    <t>NightOut_Allowance_Deductible</t>
  </si>
  <si>
    <t>Meal_Allowance_Deductible</t>
  </si>
  <si>
    <t>Mortgage_Interest_Deductible_Cap</t>
  </si>
  <si>
    <t>Mortgage_Interest_Deductible</t>
  </si>
  <si>
    <t>Post-Retirement_Medical_Fund_Deductible_Cap</t>
  </si>
  <si>
    <t>Pension_Cover_Employer</t>
  </si>
  <si>
    <t>Pension_Cover_Deductible</t>
  </si>
  <si>
    <t>Medical_Cover_Employer</t>
  </si>
  <si>
    <t>Medical_Cover_Employer_Deductible</t>
  </si>
  <si>
    <t>Post-retirement_Medical Fund_Cover_Deductible</t>
  </si>
  <si>
    <t>Provident_Fund_Deductible_Cap</t>
  </si>
  <si>
    <t>Provident_Fund_Deductible</t>
  </si>
  <si>
    <t>Life_And_Health_Insurance_Contribution_Cover</t>
  </si>
  <si>
    <t>Life_And_Health_Insurance_Deductible_Limit</t>
  </si>
  <si>
    <t>Life_And_Health_Insurance_Rate</t>
  </si>
  <si>
    <t>Tax</t>
  </si>
  <si>
    <t>&lt;-Input</t>
  </si>
  <si>
    <t>Earned_Wage</t>
  </si>
  <si>
    <t>Earned Wage Days</t>
  </si>
  <si>
    <t>Earned_Wage_Days</t>
  </si>
  <si>
    <t>Days in Month</t>
  </si>
  <si>
    <t>Number of Days in Month</t>
  </si>
  <si>
    <t>&lt;-Available Earned Wage</t>
  </si>
  <si>
    <t>Earned_Wage_Available</t>
  </si>
  <si>
    <t>Earned_Wage_Cap</t>
  </si>
  <si>
    <t>Monthly cap on net pay</t>
  </si>
  <si>
    <t>Earned_Wage_Max_Cap</t>
  </si>
  <si>
    <t>&lt;-Available Earned Wage Max</t>
  </si>
  <si>
    <t>&lt;-Earned Wage</t>
  </si>
  <si>
    <t>Gross_Pay_Employer</t>
  </si>
  <si>
    <t>Meal_Allowance_Employer</t>
  </si>
  <si>
    <t>NightOut_Allowance_Employer</t>
  </si>
  <si>
    <t>Mortgage_Interest_Contribution_Employee</t>
  </si>
  <si>
    <t>Post-retirement_Medical Fund_Contribution_Employee</t>
  </si>
  <si>
    <t>Provident_Fund_Contribution_Employee</t>
  </si>
  <si>
    <t>Life_And_Health_Insurance_Contribution_Employee</t>
  </si>
  <si>
    <t>Other_Remuneration_Employer [Incl. Bonuses, Travel, Cellphone, Housing Allowance, Car Allowance, Housing Allownace]</t>
  </si>
  <si>
    <t>SHIF_Employee</t>
  </si>
  <si>
    <t>Housing Levy_Employee</t>
  </si>
  <si>
    <t>AHL_Employee_Rate</t>
  </si>
  <si>
    <t>&lt;-Input Not Required [Mabye Consider for More Advanced Modelling]</t>
  </si>
  <si>
    <t>Amount/Threshold</t>
  </si>
  <si>
    <t xml:space="preserve">General </t>
  </si>
  <si>
    <t>Description</t>
  </si>
  <si>
    <t>Inputs</t>
  </si>
  <si>
    <t xml:space="preserve">This matrix outlines the key Statutory Acts &amp; Legal References for statutory PAYE tax limits, rates, levies and reliefts. 
</t>
  </si>
  <si>
    <t>Income Tax Act (Cap 470, Laws of Kenya)</t>
  </si>
  <si>
    <t>Comprehensive Statutroy Acts &amp; Legal Frameworks Matrix (Kenya)</t>
  </si>
  <si>
    <t>Personal Relief</t>
  </si>
  <si>
    <t>Insurance Relief</t>
  </si>
  <si>
    <t>Mortgage Interest Deduction</t>
  </si>
  <si>
    <t>Provident &amp; Pension Fund Deductions</t>
  </si>
  <si>
    <t>Post-Retirement Medical Fund Deductions</t>
  </si>
  <si>
    <t>Meal, Night-out, and Other Allowances</t>
  </si>
  <si>
    <t>Life and Health Insurance Relief</t>
  </si>
  <si>
    <t>Section 30 and Third Schedule</t>
  </si>
  <si>
    <t>Reference</t>
  </si>
  <si>
    <t>Limit</t>
  </si>
  <si>
    <t>Ksh 2,400/month</t>
  </si>
  <si>
    <t>Section 31</t>
  </si>
  <si>
    <t>allows up to 15% of premiums paid for life, education, or health policies (subject to limit).</t>
  </si>
  <si>
    <t>Section 15(3)(b)</t>
  </si>
  <si>
    <t>up to KSh 300,000 per year (≈ KSh 25,000/month)</t>
  </si>
  <si>
    <t>Section 22B</t>
  </si>
  <si>
    <t>Ksh 5,000/month</t>
  </si>
  <si>
    <t>Section 22A</t>
  </si>
  <si>
    <t>KSh 30,000/month</t>
  </si>
  <si>
    <t>Taxable per Section 5(2)(a); deductibility guided by allowable expense limits in Schedule 3.</t>
  </si>
  <si>
    <t>Capped at 15% of annual premium, limited to KSh 5,000/month</t>
  </si>
  <si>
    <t>Life and Health Insurance 15%</t>
  </si>
  <si>
    <t>Employer 1.5%</t>
  </si>
  <si>
    <t>Employee 1.5%</t>
  </si>
  <si>
    <t>Tier I ceiling</t>
  </si>
  <si>
    <t>Tier II ceiling</t>
  </si>
  <si>
    <t>Employee 6%</t>
  </si>
  <si>
    <t>National Social Security Fund Act, 2013 (NSSF Act No. 45 of 2013)</t>
  </si>
  <si>
    <t>NSSF Employee Contribution (Tier I &amp; II)</t>
  </si>
  <si>
    <t>Tier I: 6% of pensionable earnings up to KSh 7,000.
Tier II: 6% on next band up to KSh 72,000</t>
  </si>
  <si>
    <t>Section 18(1).  NSSFI Tier II updated through Legal Notice No. 17 of 2024). 
Employer matches employee contribution 1:1.
The contributions are deductible under Section 22 of the Income Tax Act.</t>
  </si>
  <si>
    <t>National Health Insurance Fund Act, 1998 (Amended 2021) / Social Health Insurance Act, 2023</t>
  </si>
  <si>
    <t>SHIF / NHIF Contributions</t>
  </si>
  <si>
    <t xml:space="preserve"> 2.75% of gross pay contribution rate</t>
  </si>
  <si>
    <t>Section 26: Employer and employee rates based on income bands.
Contributions are deductible under Section 15(3) of the Income Tax Act.</t>
  </si>
  <si>
    <t>Affordable Housing Levy (AHL) – Finance Act, 2023</t>
  </si>
  <si>
    <t>AHL</t>
  </si>
  <si>
    <t>Collected by employers under the Income Tax (Affordable Housing Levy) Regulations, 2023.
Filed monthly via PAYE returns under the Income Tax Act (Cap 470).
Effective from July 2023 (replacing the earlier Housing Fund contributions).</t>
  </si>
  <si>
    <t>1.5% of gross monthly pay (employee) + 1.5% (employer match).</t>
  </si>
  <si>
    <t>Retirement Benefits Act, 1997</t>
  </si>
  <si>
    <t>Pension and provident fund contributions and benefit deductions</t>
  </si>
  <si>
    <t>Supports limits aligned to Section 22A of the Income Tax Act</t>
  </si>
  <si>
    <t>KSh 20,000 or 30% of salary per month, whichever lower</t>
  </si>
  <si>
    <t>Provident_Fund_Deductible_Rate</t>
  </si>
  <si>
    <t>Upto 30%</t>
  </si>
  <si>
    <t>Employment Act, 2007</t>
  </si>
  <si>
    <t>Earned wage access (EWA) or advance payments</t>
  </si>
  <si>
    <t>KSh 5,000 cap (Night-Out) / KSh 2,000 daily (Meal)</t>
  </si>
  <si>
    <t>Feature</t>
  </si>
  <si>
    <t>Earned Wage Access (EWA)</t>
  </si>
  <si>
    <t>Traditional Loan</t>
  </si>
  <si>
    <t>Source of funds</t>
  </si>
  <si>
    <r>
      <t xml:space="preserve">Employee’s </t>
    </r>
    <r>
      <rPr>
        <b/>
        <sz val="11"/>
        <color theme="1"/>
        <rFont val="Calibri"/>
        <family val="2"/>
        <scheme val="minor"/>
      </rPr>
      <t>already earned salary</t>
    </r>
    <r>
      <rPr>
        <sz val="11"/>
        <color theme="1"/>
        <rFont val="Calibri"/>
        <family val="2"/>
        <scheme val="minor"/>
      </rPr>
      <t xml:space="preserve"> (portion of wages due)</t>
    </r>
  </si>
  <si>
    <r>
      <t>Third-party credit</t>
    </r>
    <r>
      <rPr>
        <sz val="11"/>
        <color theme="1"/>
        <rFont val="Calibri"/>
        <family val="2"/>
        <scheme val="minor"/>
      </rPr>
      <t xml:space="preserve"> not yet earned</t>
    </r>
  </si>
  <si>
    <t>Legal classification</t>
  </si>
  <si>
    <t>Advance on wages under the Employment Act</t>
  </si>
  <si>
    <t>Credit facility under the Banking/Finance Acts</t>
  </si>
  <si>
    <t>Interest or finance charge</t>
  </si>
  <si>
    <t>Typically a small facilitation or service fee (not interest)</t>
  </si>
  <si>
    <t>Interest-bearing under the Credit or Microfinance Acts</t>
  </si>
  <si>
    <t>Repayment source</t>
  </si>
  <si>
    <t>Automatically deducted from future salary payment</t>
  </si>
  <si>
    <t>Paid over time from future income</t>
  </si>
  <si>
    <t>Regulatory body</t>
  </si>
  <si>
    <t>Ministry of Labour (Employment Act)</t>
  </si>
  <si>
    <t>Central Bank of Kenya (CBK Act, Banking Act, Microfinance Act)</t>
  </si>
  <si>
    <t>Section 19(1)(e) authorizes statutory deductions from wages.
Since EWA represents earned income, not credit, it: Is not subject to the Banking Act or CBK lending regulations. However, if the provider adds interest or structured credit terms, the service risks reclassification as a credit product, subject to the Microfinance Act (2006) or CBK (Digital Credit Providers) Regulations, 2022.
However, Section 19(3) of the Act sets an important restriction: "The total amount of all deductions from wages in any one wage period shall not exceed two-thirds of such wages.”</t>
  </si>
  <si>
    <t xml:space="preserve">Earned Wage Access (EWA) is not a loan under Kenyan law if:
1) The amount represents wages already earned;
2) The employee consents to the advance; and
3) The deduction is made under Section 19(1)(e) of the Employment Act, 2007 and the deduction on payday must appear on the payslip as “salary advance” or “earned wage access”.
Deductions must not exceed ⅔ (67%) of wages in a pay period. </t>
  </si>
  <si>
    <t>Other_Remuneration_Employer [Incl. Bonuses, Travel, Cellphone, Housing Allowance, Car Allowance]</t>
  </si>
  <si>
    <t>NSSF_2_Employee</t>
  </si>
  <si>
    <t>NSSF_1_Employee</t>
  </si>
  <si>
    <t>Days_Worked</t>
  </si>
  <si>
    <t>Workings</t>
  </si>
  <si>
    <t>PAYE</t>
  </si>
  <si>
    <t>Housing Levy</t>
  </si>
  <si>
    <t>SHIF</t>
  </si>
  <si>
    <t>NSSF_2</t>
  </si>
  <si>
    <t>NSSF_1</t>
  </si>
  <si>
    <t>Output</t>
  </si>
  <si>
    <t>Remittances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</si>
</sst>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_-* #,##0.0_-;\-* #,##0.0_-;_-* &quot;-&quot;?_-;_-@_-"/>
  </numFmts>
  <fonts count="11"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font>
    <font>
      <b/>
      <sz val="11"/>
      <color theme="0"/>
      <name val="Calibri"/>
      <family val="2"/>
      <scheme val="minor"/>
    </font>
    <font>
      <sz val="11"/>
      <color theme="0"/>
      <name val="Calibri"/>
      <family val="2"/>
      <scheme val="minor"/>
    </font>
    <font>
      <sz val="10"/>
      <color theme="0"/>
      <name val="Calibri"/>
      <family val="2"/>
      <scheme val="minor"/>
    </font>
    <font>
      <sz val="10"/>
      <color rgb="FF000000"/>
      <name val="Calibri"/>
      <family val="2"/>
      <scheme val="minor"/>
    </font>
    <font>
      <b/>
      <sz val="10"/>
      <color theme="1"/>
      <name val="Calibri"/>
      <family val="2"/>
      <scheme val="minor"/>
    </font>
  </fonts>
  <fills count="11">
    <fill>
      <patternFill patternType="none"/>
    </fill>
    <fill>
      <patternFill patternType="gray125"/>
    </fill>
    <fill>
      <patternFill patternType="solid">
        <fgColor rgb="FFE6F2FF"/>
      </patternFill>
    </fill>
    <fill>
      <patternFill patternType="solid">
        <fgColor rgb="FFFFFF00"/>
        <bgColor indexed="64"/>
      </patternFill>
    </fill>
    <fill>
      <patternFill patternType="solid">
        <fgColor theme="0" tint="-4.9989318521683403E-2"/>
        <bgColor indexed="64"/>
      </patternFill>
    </fill>
    <fill>
      <patternFill patternType="solid">
        <fgColor rgb="FF1CADE4"/>
        <bgColor indexed="64"/>
      </patternFill>
    </fill>
    <fill>
      <patternFill patternType="solid">
        <fgColor rgb="FFD1EFFA"/>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8">
    <xf numFmtId="0" fontId="0" fillId="0" borderId="0" xfId="0"/>
    <xf numFmtId="0" fontId="1" fillId="0" borderId="0" xfId="0" applyFont="1"/>
    <xf numFmtId="0" fontId="3" fillId="0" borderId="0" xfId="0" applyFont="1"/>
    <xf numFmtId="165" fontId="0" fillId="0" borderId="0" xfId="1" applyNumberFormat="1" applyFont="1"/>
    <xf numFmtId="43" fontId="0" fillId="0" borderId="1" xfId="1" applyFont="1" applyBorder="1"/>
    <xf numFmtId="165" fontId="0" fillId="0" borderId="0" xfId="0" applyNumberFormat="1"/>
    <xf numFmtId="43" fontId="0" fillId="0" borderId="0" xfId="0" applyNumberFormat="1"/>
    <xf numFmtId="9" fontId="0" fillId="0" borderId="0" xfId="0" applyNumberFormat="1"/>
    <xf numFmtId="166" fontId="0" fillId="0" borderId="0" xfId="0" applyNumberFormat="1"/>
    <xf numFmtId="43" fontId="4" fillId="4" borderId="1" xfId="1" applyFont="1" applyFill="1" applyBorder="1"/>
    <xf numFmtId="0" fontId="1" fillId="3" borderId="0" xfId="0" applyFont="1" applyFill="1" applyAlignment="1">
      <alignment horizontal="left"/>
    </xf>
    <xf numFmtId="43" fontId="1" fillId="2" borderId="0" xfId="1" applyFont="1" applyFill="1" applyAlignment="1">
      <alignment horizontal="left"/>
    </xf>
    <xf numFmtId="0" fontId="8" fillId="5" borderId="0" xfId="0" applyFont="1" applyFill="1" applyAlignment="1">
      <alignment vertical="center"/>
    </xf>
    <xf numFmtId="37" fontId="9" fillId="6" borderId="0" xfId="1" applyNumberFormat="1" applyFont="1" applyFill="1" applyBorder="1" applyAlignment="1">
      <alignment vertical="center"/>
    </xf>
    <xf numFmtId="0" fontId="0" fillId="6" borderId="0" xfId="0" applyFill="1"/>
    <xf numFmtId="164" fontId="0" fillId="6" borderId="0" xfId="2" applyNumberFormat="1" applyFont="1" applyFill="1"/>
    <xf numFmtId="10" fontId="0" fillId="6" borderId="0" xfId="2" applyNumberFormat="1" applyFont="1" applyFill="1"/>
    <xf numFmtId="165" fontId="0" fillId="6" borderId="0" xfId="1" applyNumberFormat="1" applyFont="1" applyFill="1"/>
    <xf numFmtId="9" fontId="0" fillId="6" borderId="0" xfId="0" applyNumberFormat="1" applyFill="1"/>
    <xf numFmtId="2" fontId="0" fillId="6" borderId="0" xfId="0" applyNumberFormat="1" applyFill="1"/>
    <xf numFmtId="9" fontId="0" fillId="6" borderId="0" xfId="2" applyFont="1" applyFill="1"/>
    <xf numFmtId="165" fontId="7" fillId="7" borderId="0" xfId="0" applyNumberFormat="1" applyFont="1" applyFill="1"/>
    <xf numFmtId="0" fontId="7" fillId="7" borderId="0" xfId="0" applyFont="1" applyFill="1"/>
    <xf numFmtId="0" fontId="5" fillId="8" borderId="0" xfId="0" applyFont="1" applyFill="1" applyAlignment="1">
      <alignment horizontal="left"/>
    </xf>
    <xf numFmtId="0" fontId="1" fillId="2" borderId="0" xfId="0" applyFont="1" applyFill="1" applyAlignment="1">
      <alignment horizontal="right"/>
    </xf>
    <xf numFmtId="43" fontId="6" fillId="7" borderId="1" xfId="1" applyFont="1" applyFill="1" applyBorder="1"/>
    <xf numFmtId="43" fontId="3" fillId="9" borderId="1" xfId="1" applyFont="1" applyFill="1" applyBorder="1"/>
    <xf numFmtId="43" fontId="3" fillId="4" borderId="1" xfId="1" applyFont="1" applyFill="1" applyBorder="1"/>
    <xf numFmtId="43" fontId="3" fillId="10" borderId="1" xfId="1" applyFont="1" applyFill="1" applyBorder="1"/>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10" fillId="4" borderId="0" xfId="0" applyFont="1" applyFill="1" applyAlignment="1">
      <alignment horizontal="left" vertical="center"/>
    </xf>
    <xf numFmtId="0" fontId="0" fillId="0" borderId="0" xfId="0" applyAlignment="1">
      <alignment vertical="top"/>
    </xf>
    <xf numFmtId="0" fontId="0" fillId="0" borderId="0" xfId="0" applyAlignment="1">
      <alignment vertical="center" wrapText="1"/>
    </xf>
    <xf numFmtId="0" fontId="3" fillId="0" borderId="0" xfId="0" applyFont="1" applyAlignment="1">
      <alignment vertical="center" wrapText="1"/>
    </xf>
    <xf numFmtId="2" fontId="1" fillId="2" borderId="0" xfId="1" applyNumberFormat="1" applyFont="1" applyFill="1" applyAlignment="1">
      <alignment horizontal="right"/>
    </xf>
    <xf numFmtId="0" fontId="5" fillId="8" borderId="1" xfId="0" applyFont="1" applyFill="1" applyBorder="1" applyAlignment="1">
      <alignment horizontal="left"/>
    </xf>
    <xf numFmtId="165" fontId="6" fillId="7" borderId="1" xfId="0" applyNumberFormat="1" applyFont="1" applyFill="1" applyBorder="1"/>
    <xf numFmtId="165" fontId="3" fillId="10" borderId="1" xfId="1" applyNumberFormat="1" applyFont="1" applyFill="1" applyBorder="1"/>
    <xf numFmtId="165" fontId="3" fillId="9" borderId="1" xfId="1" applyNumberFormat="1" applyFont="1" applyFill="1" applyBorder="1"/>
    <xf numFmtId="0" fontId="8" fillId="5" borderId="3" xfId="0" applyFont="1" applyFill="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1CAD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86C-59C2-4070-B428-D28C427B7CA4}">
  <dimension ref="A1:G33"/>
  <sheetViews>
    <sheetView workbookViewId="0">
      <selection activeCell="C28" sqref="C28"/>
    </sheetView>
  </sheetViews>
  <sheetFormatPr defaultRowHeight="14.4" x14ac:dyDescent="0.3"/>
  <cols>
    <col min="1" max="1" width="38.44140625" customWidth="1"/>
    <col min="2" max="2" width="75.5546875" customWidth="1"/>
    <col min="3" max="3" width="78.88671875" customWidth="1"/>
    <col min="4" max="7" width="28" customWidth="1"/>
  </cols>
  <sheetData>
    <row r="1" spans="1:7" x14ac:dyDescent="0.3">
      <c r="A1" s="12" t="s">
        <v>74</v>
      </c>
      <c r="B1" s="12"/>
      <c r="C1" s="12"/>
      <c r="D1" s="12"/>
      <c r="E1" s="12"/>
      <c r="F1" s="12"/>
      <c r="G1" s="12"/>
    </row>
    <row r="2" spans="1:7" x14ac:dyDescent="0.3">
      <c r="A2" s="42" t="s">
        <v>72</v>
      </c>
      <c r="B2" s="43"/>
      <c r="C2" s="43"/>
      <c r="D2" s="43"/>
      <c r="E2" s="43"/>
      <c r="F2" s="43"/>
      <c r="G2" s="44"/>
    </row>
    <row r="3" spans="1:7" x14ac:dyDescent="0.3">
      <c r="A3" s="45"/>
      <c r="B3" s="46"/>
      <c r="C3" s="46"/>
      <c r="D3" s="46"/>
      <c r="E3" s="46"/>
      <c r="F3" s="46"/>
      <c r="G3" s="47"/>
    </row>
    <row r="4" spans="1:7" x14ac:dyDescent="0.3">
      <c r="A4" s="41" t="s">
        <v>73</v>
      </c>
      <c r="B4" s="41"/>
      <c r="C4" s="41"/>
    </row>
    <row r="5" spans="1:7" x14ac:dyDescent="0.3">
      <c r="A5" s="32" t="s">
        <v>70</v>
      </c>
      <c r="B5" s="32" t="s">
        <v>83</v>
      </c>
      <c r="C5" s="32" t="s">
        <v>84</v>
      </c>
    </row>
    <row r="6" spans="1:7" x14ac:dyDescent="0.3">
      <c r="A6" t="s">
        <v>75</v>
      </c>
      <c r="B6" t="s">
        <v>82</v>
      </c>
      <c r="C6" t="s">
        <v>85</v>
      </c>
    </row>
    <row r="7" spans="1:7" x14ac:dyDescent="0.3">
      <c r="A7" t="s">
        <v>76</v>
      </c>
      <c r="B7" t="s">
        <v>86</v>
      </c>
      <c r="C7" t="s">
        <v>87</v>
      </c>
    </row>
    <row r="8" spans="1:7" x14ac:dyDescent="0.3">
      <c r="A8" t="s">
        <v>77</v>
      </c>
      <c r="B8" t="s">
        <v>88</v>
      </c>
      <c r="C8" t="s">
        <v>89</v>
      </c>
    </row>
    <row r="9" spans="1:7" x14ac:dyDescent="0.3">
      <c r="A9" t="s">
        <v>79</v>
      </c>
      <c r="B9" t="s">
        <v>90</v>
      </c>
      <c r="C9" t="s">
        <v>91</v>
      </c>
    </row>
    <row r="10" spans="1:7" x14ac:dyDescent="0.3">
      <c r="A10" t="s">
        <v>78</v>
      </c>
      <c r="B10" t="s">
        <v>92</v>
      </c>
      <c r="C10" t="s">
        <v>93</v>
      </c>
    </row>
    <row r="11" spans="1:7" x14ac:dyDescent="0.3">
      <c r="A11" t="s">
        <v>80</v>
      </c>
      <c r="B11" s="31" t="s">
        <v>94</v>
      </c>
      <c r="C11" t="s">
        <v>122</v>
      </c>
    </row>
    <row r="12" spans="1:7" x14ac:dyDescent="0.3">
      <c r="A12" t="s">
        <v>81</v>
      </c>
      <c r="B12" t="s">
        <v>86</v>
      </c>
      <c r="C12" t="s">
        <v>95</v>
      </c>
    </row>
    <row r="13" spans="1:7" x14ac:dyDescent="0.3">
      <c r="A13" s="41" t="s">
        <v>102</v>
      </c>
      <c r="B13" s="41"/>
      <c r="C13" s="41"/>
    </row>
    <row r="14" spans="1:7" x14ac:dyDescent="0.3">
      <c r="A14" s="32" t="s">
        <v>70</v>
      </c>
      <c r="B14" s="32" t="s">
        <v>83</v>
      </c>
      <c r="C14" s="32" t="s">
        <v>84</v>
      </c>
    </row>
    <row r="15" spans="1:7" ht="72" x14ac:dyDescent="0.3">
      <c r="A15" s="33" t="s">
        <v>103</v>
      </c>
      <c r="B15" s="29" t="s">
        <v>105</v>
      </c>
      <c r="C15" s="30" t="s">
        <v>104</v>
      </c>
    </row>
    <row r="16" spans="1:7" x14ac:dyDescent="0.3">
      <c r="A16" s="41" t="s">
        <v>106</v>
      </c>
      <c r="B16" s="41"/>
      <c r="C16" s="41"/>
    </row>
    <row r="17" spans="1:3" x14ac:dyDescent="0.3">
      <c r="A17" s="32" t="s">
        <v>70</v>
      </c>
      <c r="B17" s="32" t="s">
        <v>83</v>
      </c>
      <c r="C17" s="32" t="s">
        <v>84</v>
      </c>
    </row>
    <row r="18" spans="1:3" ht="43.2" x14ac:dyDescent="0.3">
      <c r="A18" s="33" t="s">
        <v>107</v>
      </c>
      <c r="B18" s="29" t="s">
        <v>109</v>
      </c>
      <c r="C18" s="33" t="s">
        <v>108</v>
      </c>
    </row>
    <row r="19" spans="1:3" x14ac:dyDescent="0.3">
      <c r="A19" s="41" t="s">
        <v>110</v>
      </c>
      <c r="B19" s="41"/>
      <c r="C19" s="41"/>
    </row>
    <row r="20" spans="1:3" x14ac:dyDescent="0.3">
      <c r="A20" s="32" t="s">
        <v>70</v>
      </c>
      <c r="B20" s="32" t="s">
        <v>83</v>
      </c>
      <c r="C20" s="32" t="s">
        <v>84</v>
      </c>
    </row>
    <row r="21" spans="1:3" ht="86.4" x14ac:dyDescent="0.3">
      <c r="A21" s="33" t="s">
        <v>111</v>
      </c>
      <c r="B21" s="30" t="s">
        <v>112</v>
      </c>
      <c r="C21" s="33" t="s">
        <v>113</v>
      </c>
    </row>
    <row r="22" spans="1:3" x14ac:dyDescent="0.3">
      <c r="A22" s="41" t="s">
        <v>114</v>
      </c>
      <c r="B22" s="41"/>
      <c r="C22" s="41"/>
    </row>
    <row r="23" spans="1:3" x14ac:dyDescent="0.3">
      <c r="A23" s="32" t="s">
        <v>70</v>
      </c>
      <c r="B23" s="32" t="s">
        <v>83</v>
      </c>
      <c r="C23" s="32" t="s">
        <v>84</v>
      </c>
    </row>
    <row r="24" spans="1:3" x14ac:dyDescent="0.3">
      <c r="A24" s="33" t="s">
        <v>115</v>
      </c>
      <c r="B24" s="29" t="s">
        <v>116</v>
      </c>
      <c r="C24" s="33" t="s">
        <v>117</v>
      </c>
    </row>
    <row r="25" spans="1:3" x14ac:dyDescent="0.3">
      <c r="A25" s="41" t="s">
        <v>120</v>
      </c>
      <c r="B25" s="41"/>
      <c r="C25" s="41"/>
    </row>
    <row r="26" spans="1:3" x14ac:dyDescent="0.3">
      <c r="A26" s="32" t="s">
        <v>70</v>
      </c>
      <c r="B26" s="32" t="s">
        <v>83</v>
      </c>
      <c r="C26" s="32" t="s">
        <v>84</v>
      </c>
    </row>
    <row r="27" spans="1:3" ht="144" x14ac:dyDescent="0.3">
      <c r="A27" s="33" t="s">
        <v>121</v>
      </c>
      <c r="B27" s="30" t="s">
        <v>141</v>
      </c>
      <c r="C27" s="30" t="s">
        <v>142</v>
      </c>
    </row>
    <row r="28" spans="1:3" x14ac:dyDescent="0.3">
      <c r="A28" s="32" t="s">
        <v>123</v>
      </c>
      <c r="B28" s="32" t="s">
        <v>124</v>
      </c>
      <c r="C28" s="32" t="s">
        <v>125</v>
      </c>
    </row>
    <row r="29" spans="1:3" x14ac:dyDescent="0.3">
      <c r="A29" s="34" t="s">
        <v>126</v>
      </c>
      <c r="B29" s="34" t="s">
        <v>127</v>
      </c>
      <c r="C29" s="35" t="s">
        <v>128</v>
      </c>
    </row>
    <row r="30" spans="1:3" x14ac:dyDescent="0.3">
      <c r="A30" s="34" t="s">
        <v>129</v>
      </c>
      <c r="B30" s="34" t="s">
        <v>130</v>
      </c>
      <c r="C30" s="34" t="s">
        <v>131</v>
      </c>
    </row>
    <row r="31" spans="1:3" x14ac:dyDescent="0.3">
      <c r="A31" s="34" t="s">
        <v>132</v>
      </c>
      <c r="B31" s="34" t="s">
        <v>133</v>
      </c>
      <c r="C31" s="34" t="s">
        <v>134</v>
      </c>
    </row>
    <row r="32" spans="1:3" x14ac:dyDescent="0.3">
      <c r="A32" s="34" t="s">
        <v>135</v>
      </c>
      <c r="B32" s="34" t="s">
        <v>136</v>
      </c>
      <c r="C32" s="34" t="s">
        <v>137</v>
      </c>
    </row>
    <row r="33" spans="1:3" x14ac:dyDescent="0.3">
      <c r="A33" s="34" t="s">
        <v>138</v>
      </c>
      <c r="B33" s="34" t="s">
        <v>139</v>
      </c>
      <c r="C33" s="34" t="s">
        <v>140</v>
      </c>
    </row>
  </sheetData>
  <mergeCells count="7">
    <mergeCell ref="A25:C25"/>
    <mergeCell ref="A2:G3"/>
    <mergeCell ref="A4:C4"/>
    <mergeCell ref="A13:C13"/>
    <mergeCell ref="A16:C16"/>
    <mergeCell ref="A19:C19"/>
    <mergeCell ref="A22:C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workbookViewId="0">
      <pane ySplit="1" topLeftCell="A6" activePane="bottomLeft" state="frozen"/>
      <selection pane="bottomLeft" activeCell="D15" sqref="D15"/>
    </sheetView>
  </sheetViews>
  <sheetFormatPr defaultRowHeight="14.4" x14ac:dyDescent="0.3"/>
  <cols>
    <col min="1" max="1" width="44.6640625" customWidth="1"/>
    <col min="2" max="2" width="24" customWidth="1"/>
    <col min="3" max="3" width="46.44140625" bestFit="1" customWidth="1"/>
    <col min="5" max="5" width="12.77734375" bestFit="1" customWidth="1"/>
    <col min="6" max="6" width="15" customWidth="1"/>
    <col min="7" max="7" width="11.33203125" bestFit="1" customWidth="1"/>
  </cols>
  <sheetData>
    <row r="1" spans="1:3" x14ac:dyDescent="0.3">
      <c r="A1" s="12" t="s">
        <v>69</v>
      </c>
      <c r="B1" s="12" t="s">
        <v>68</v>
      </c>
      <c r="C1" s="12" t="s">
        <v>70</v>
      </c>
    </row>
    <row r="2" spans="1:3" ht="18" customHeight="1" x14ac:dyDescent="0.3">
      <c r="A2" t="s">
        <v>0</v>
      </c>
      <c r="B2" s="13">
        <v>2400</v>
      </c>
      <c r="C2" t="s">
        <v>1</v>
      </c>
    </row>
    <row r="3" spans="1:3" ht="18" customHeight="1" x14ac:dyDescent="0.3">
      <c r="A3" t="s">
        <v>2</v>
      </c>
      <c r="B3" s="14">
        <v>0</v>
      </c>
      <c r="C3" t="s">
        <v>3</v>
      </c>
    </row>
    <row r="4" spans="1:3" ht="18" customHeight="1" x14ac:dyDescent="0.3">
      <c r="A4" t="s">
        <v>4</v>
      </c>
      <c r="B4" s="15">
        <v>1.4999999999999999E-2</v>
      </c>
      <c r="C4" t="s">
        <v>5</v>
      </c>
    </row>
    <row r="5" spans="1:3" ht="18" customHeight="1" x14ac:dyDescent="0.3">
      <c r="A5" t="s">
        <v>6</v>
      </c>
      <c r="B5" s="16">
        <v>2.75E-2</v>
      </c>
      <c r="C5" t="s">
        <v>7</v>
      </c>
    </row>
    <row r="6" spans="1:3" ht="18" customHeight="1" x14ac:dyDescent="0.3">
      <c r="A6" t="s">
        <v>8</v>
      </c>
      <c r="B6" s="17">
        <v>30000</v>
      </c>
      <c r="C6" t="s">
        <v>24</v>
      </c>
    </row>
    <row r="7" spans="1:3" ht="18" customHeight="1" x14ac:dyDescent="0.3">
      <c r="A7" t="s">
        <v>23</v>
      </c>
      <c r="B7" s="17">
        <v>5000</v>
      </c>
      <c r="C7" t="s">
        <v>24</v>
      </c>
    </row>
    <row r="8" spans="1:3" ht="18" customHeight="1" x14ac:dyDescent="0.3">
      <c r="A8" t="s">
        <v>25</v>
      </c>
      <c r="B8" s="17">
        <v>2000</v>
      </c>
      <c r="C8" t="s">
        <v>26</v>
      </c>
    </row>
    <row r="9" spans="1:3" ht="18" customHeight="1" x14ac:dyDescent="0.3">
      <c r="A9" t="s">
        <v>31</v>
      </c>
      <c r="B9" s="17">
        <v>5000</v>
      </c>
      <c r="C9" t="s">
        <v>24</v>
      </c>
    </row>
    <row r="10" spans="1:3" ht="18" customHeight="1" x14ac:dyDescent="0.3">
      <c r="A10" t="s">
        <v>29</v>
      </c>
      <c r="B10" s="17">
        <v>25000</v>
      </c>
      <c r="C10" t="s">
        <v>24</v>
      </c>
    </row>
    <row r="11" spans="1:3" ht="18" customHeight="1" x14ac:dyDescent="0.3">
      <c r="A11" t="s">
        <v>37</v>
      </c>
      <c r="B11" s="17">
        <v>30000</v>
      </c>
      <c r="C11" t="s">
        <v>24</v>
      </c>
    </row>
    <row r="12" spans="1:3" ht="18" customHeight="1" x14ac:dyDescent="0.3">
      <c r="A12" t="s">
        <v>40</v>
      </c>
      <c r="B12" s="17">
        <f>60000/12</f>
        <v>5000</v>
      </c>
      <c r="C12" t="s">
        <v>24</v>
      </c>
    </row>
    <row r="13" spans="1:3" ht="18" customHeight="1" x14ac:dyDescent="0.3">
      <c r="A13" t="s">
        <v>9</v>
      </c>
      <c r="B13" s="17">
        <v>7000</v>
      </c>
      <c r="C13" t="s">
        <v>99</v>
      </c>
    </row>
    <row r="14" spans="1:3" ht="18" customHeight="1" x14ac:dyDescent="0.3">
      <c r="A14" t="s">
        <v>10</v>
      </c>
      <c r="B14" s="17">
        <v>72000</v>
      </c>
      <c r="C14" t="s">
        <v>100</v>
      </c>
    </row>
    <row r="15" spans="1:3" ht="18" customHeight="1" x14ac:dyDescent="0.3">
      <c r="A15" t="s">
        <v>11</v>
      </c>
      <c r="B15" s="15">
        <v>0.06</v>
      </c>
      <c r="C15" t="s">
        <v>101</v>
      </c>
    </row>
    <row r="16" spans="1:3" ht="18" customHeight="1" x14ac:dyDescent="0.3">
      <c r="A16" t="s">
        <v>66</v>
      </c>
      <c r="B16" s="15">
        <v>1.4999999999999999E-2</v>
      </c>
      <c r="C16" t="s">
        <v>98</v>
      </c>
    </row>
    <row r="17" spans="1:7" ht="18" customHeight="1" x14ac:dyDescent="0.3">
      <c r="A17" t="s">
        <v>66</v>
      </c>
      <c r="B17" s="15">
        <v>1.4999999999999999E-2</v>
      </c>
      <c r="C17" t="s">
        <v>97</v>
      </c>
    </row>
    <row r="18" spans="1:7" ht="18" customHeight="1" x14ac:dyDescent="0.3">
      <c r="A18" t="s">
        <v>41</v>
      </c>
      <c r="B18" s="18">
        <v>0.15</v>
      </c>
      <c r="C18" t="s">
        <v>96</v>
      </c>
      <c r="E18" s="8"/>
    </row>
    <row r="19" spans="1:7" ht="18" customHeight="1" x14ac:dyDescent="0.3">
      <c r="A19" t="s">
        <v>118</v>
      </c>
      <c r="B19" s="18">
        <v>0.3</v>
      </c>
      <c r="C19" t="s">
        <v>119</v>
      </c>
      <c r="E19" s="8"/>
    </row>
    <row r="20" spans="1:7" ht="18" customHeight="1" x14ac:dyDescent="0.3">
      <c r="A20" t="s">
        <v>46</v>
      </c>
      <c r="B20" s="19">
        <f>Inputs!B9</f>
        <v>30</v>
      </c>
      <c r="C20" t="s">
        <v>45</v>
      </c>
    </row>
    <row r="21" spans="1:7" ht="18" customHeight="1" x14ac:dyDescent="0.3">
      <c r="A21" t="s">
        <v>47</v>
      </c>
      <c r="B21" s="19">
        <v>30</v>
      </c>
      <c r="C21" t="s">
        <v>48</v>
      </c>
    </row>
    <row r="22" spans="1:7" ht="18" customHeight="1" x14ac:dyDescent="0.3">
      <c r="A22" t="s">
        <v>51</v>
      </c>
      <c r="B22" s="20">
        <v>0.6</v>
      </c>
      <c r="C22" t="s">
        <v>52</v>
      </c>
    </row>
    <row r="23" spans="1:7" ht="18" customHeight="1" x14ac:dyDescent="0.3">
      <c r="B23" s="7"/>
    </row>
    <row r="24" spans="1:7" ht="18" customHeight="1" x14ac:dyDescent="0.3">
      <c r="A24" s="12" t="s">
        <v>12</v>
      </c>
    </row>
    <row r="25" spans="1:7" ht="18" customHeight="1" x14ac:dyDescent="0.3">
      <c r="A25" s="1" t="s">
        <v>13</v>
      </c>
      <c r="B25" s="1" t="s">
        <v>14</v>
      </c>
      <c r="C25" s="1" t="s">
        <v>15</v>
      </c>
      <c r="D25" s="1" t="s">
        <v>42</v>
      </c>
    </row>
    <row r="26" spans="1:7" ht="18" customHeight="1" x14ac:dyDescent="0.3">
      <c r="A26" s="17">
        <v>0</v>
      </c>
      <c r="B26" s="17">
        <v>24000</v>
      </c>
      <c r="C26" s="20">
        <v>0.1</v>
      </c>
      <c r="D26" s="21">
        <f>B26*C26</f>
        <v>2400</v>
      </c>
      <c r="E26" s="5"/>
    </row>
    <row r="27" spans="1:7" ht="18" customHeight="1" x14ac:dyDescent="0.3">
      <c r="A27" s="17">
        <v>24000</v>
      </c>
      <c r="B27" s="17">
        <v>32333</v>
      </c>
      <c r="C27" s="20">
        <v>0.25</v>
      </c>
      <c r="D27" s="21">
        <f>(B27-B26)*C27</f>
        <v>2083.25</v>
      </c>
      <c r="E27" s="6"/>
      <c r="F27" s="6"/>
    </row>
    <row r="28" spans="1:7" ht="18" customHeight="1" x14ac:dyDescent="0.3">
      <c r="A28" s="17">
        <v>32333</v>
      </c>
      <c r="B28" s="17">
        <v>500000</v>
      </c>
      <c r="C28" s="20">
        <v>0.3</v>
      </c>
      <c r="D28" s="21">
        <f>(B28-B27)*C28</f>
        <v>140300.1</v>
      </c>
      <c r="E28" s="6"/>
    </row>
    <row r="29" spans="1:7" ht="18" customHeight="1" x14ac:dyDescent="0.3">
      <c r="A29" s="17">
        <v>500000</v>
      </c>
      <c r="B29" s="17">
        <v>800000</v>
      </c>
      <c r="C29" s="20">
        <v>0.32500000000000001</v>
      </c>
      <c r="D29" s="21">
        <f>(B29-B28)*C29</f>
        <v>97500</v>
      </c>
      <c r="E29" s="5"/>
    </row>
    <row r="30" spans="1:7" ht="18" customHeight="1" x14ac:dyDescent="0.3">
      <c r="A30" s="17">
        <v>800000</v>
      </c>
      <c r="B30" s="17"/>
      <c r="C30" s="20">
        <v>0.35</v>
      </c>
      <c r="D30" s="22"/>
      <c r="E30" s="6"/>
      <c r="F30" s="6"/>
      <c r="G30" s="6"/>
    </row>
    <row r="31" spans="1:7" ht="18" customHeight="1" x14ac:dyDescent="0.3">
      <c r="E31" s="5"/>
      <c r="F31" s="6"/>
      <c r="G31" s="6"/>
    </row>
    <row r="32" spans="1:7" ht="18" customHeight="1" x14ac:dyDescent="0.3">
      <c r="E32" s="5"/>
    </row>
    <row r="33" spans="1:3" ht="18" customHeight="1" x14ac:dyDescent="0.3">
      <c r="A33" s="1"/>
      <c r="B33" s="2"/>
      <c r="C33" s="2"/>
    </row>
    <row r="34" spans="1:3" ht="18" customHeight="1" x14ac:dyDescent="0.3">
      <c r="A34" s="3"/>
      <c r="B34" s="3"/>
      <c r="C34" s="3"/>
    </row>
    <row r="35" spans="1:3" ht="18" customHeight="1" x14ac:dyDescent="0.3">
      <c r="A35" s="3"/>
      <c r="B35" s="3"/>
      <c r="C35" s="3"/>
    </row>
    <row r="36" spans="1:3" ht="18" customHeight="1" x14ac:dyDescent="0.3">
      <c r="A36" s="3"/>
      <c r="B36" s="3"/>
      <c r="C36" s="3"/>
    </row>
    <row r="37" spans="1:3" ht="18" customHeight="1" x14ac:dyDescent="0.3">
      <c r="A37" s="3"/>
      <c r="B37" s="3"/>
      <c r="C37" s="3"/>
    </row>
    <row r="38" spans="1:3" ht="18" customHeight="1" x14ac:dyDescent="0.3">
      <c r="A38" s="3"/>
      <c r="B38" s="3"/>
      <c r="C38" s="3"/>
    </row>
    <row r="39" spans="1:3" ht="18" customHeight="1" x14ac:dyDescent="0.3">
      <c r="A39" s="3"/>
      <c r="B39" s="3"/>
      <c r="C39" s="3"/>
    </row>
    <row r="40" spans="1:3" ht="18" customHeight="1" x14ac:dyDescent="0.3">
      <c r="A40" s="3"/>
      <c r="B40" s="3"/>
      <c r="C40" s="3"/>
    </row>
    <row r="41" spans="1:3" ht="18" customHeight="1" x14ac:dyDescent="0.3">
      <c r="A41" s="3"/>
      <c r="B41" s="3"/>
      <c r="C41" s="3"/>
    </row>
    <row r="42" spans="1:3" ht="18" customHeight="1" x14ac:dyDescent="0.3">
      <c r="A42" s="3"/>
      <c r="B42" s="3"/>
      <c r="C42" s="3"/>
    </row>
    <row r="43" spans="1:3" ht="18" customHeight="1" x14ac:dyDescent="0.3">
      <c r="A43" s="3"/>
      <c r="B43" s="3"/>
      <c r="C43" s="3"/>
    </row>
    <row r="44" spans="1:3" ht="18" customHeight="1" x14ac:dyDescent="0.3">
      <c r="A44" s="3"/>
      <c r="B44" s="3"/>
      <c r="C44" s="3"/>
    </row>
    <row r="45" spans="1:3" ht="18" customHeight="1" x14ac:dyDescent="0.3">
      <c r="A45" s="3"/>
      <c r="B45" s="3"/>
      <c r="C45" s="3"/>
    </row>
    <row r="46" spans="1:3" ht="18" customHeight="1" x14ac:dyDescent="0.3">
      <c r="A46" s="3"/>
      <c r="B46" s="3"/>
      <c r="C46" s="3"/>
    </row>
    <row r="47" spans="1:3" ht="18" customHeight="1" x14ac:dyDescent="0.3">
      <c r="A47" s="3"/>
      <c r="B47" s="3"/>
      <c r="C47" s="3"/>
    </row>
    <row r="48" spans="1:3" ht="18" customHeight="1" x14ac:dyDescent="0.3">
      <c r="A48" s="3"/>
      <c r="B48" s="3"/>
      <c r="C48" s="3"/>
    </row>
    <row r="49" spans="1:3" ht="18" customHeight="1" x14ac:dyDescent="0.3">
      <c r="A49" s="3"/>
      <c r="B49" s="3"/>
      <c r="C49" s="3"/>
    </row>
    <row r="50" spans="1:3" ht="18" customHeight="1" x14ac:dyDescent="0.3">
      <c r="A50" s="3"/>
      <c r="B50" s="3"/>
      <c r="C50" s="3"/>
    </row>
    <row r="51" spans="1:3" ht="18" customHeight="1" x14ac:dyDescent="0.3">
      <c r="A51" s="3"/>
      <c r="B51" s="3"/>
      <c r="C51" s="3"/>
    </row>
    <row r="52" spans="1:3" ht="18" customHeight="1" x14ac:dyDescent="0.3">
      <c r="A52" s="3"/>
      <c r="B52" s="3"/>
      <c r="C52"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2" topLeftCell="A3" activePane="bottomLeft" state="frozen"/>
      <selection pane="bottomLeft" activeCell="B9" sqref="B9"/>
    </sheetView>
  </sheetViews>
  <sheetFormatPr defaultRowHeight="14.4" x14ac:dyDescent="0.3"/>
  <cols>
    <col min="1" max="1" width="46.21875" bestFit="1" customWidth="1"/>
    <col min="2" max="2" width="22" customWidth="1"/>
    <col min="3" max="3" width="58.88671875" bestFit="1" customWidth="1"/>
    <col min="4" max="9" width="22" customWidth="1"/>
    <col min="10" max="10" width="39" bestFit="1" customWidth="1"/>
    <col min="11" max="11" width="10.33203125" bestFit="1" customWidth="1"/>
    <col min="12" max="12" width="11.33203125" bestFit="1" customWidth="1"/>
  </cols>
  <sheetData>
    <row r="1" spans="1:3" x14ac:dyDescent="0.3">
      <c r="A1" s="12" t="s">
        <v>71</v>
      </c>
      <c r="B1" s="12"/>
      <c r="C1" s="12"/>
    </row>
    <row r="2" spans="1:3" x14ac:dyDescent="0.3">
      <c r="A2" s="23" t="s">
        <v>16</v>
      </c>
      <c r="B2" s="24" t="s">
        <v>17</v>
      </c>
      <c r="C2" t="s">
        <v>43</v>
      </c>
    </row>
    <row r="3" spans="1:3" x14ac:dyDescent="0.3">
      <c r="A3" s="23" t="s">
        <v>56</v>
      </c>
      <c r="B3" s="11">
        <v>35000</v>
      </c>
      <c r="C3" t="s">
        <v>43</v>
      </c>
    </row>
    <row r="4" spans="1:3" x14ac:dyDescent="0.3">
      <c r="A4" s="23" t="s">
        <v>143</v>
      </c>
      <c r="B4" s="11"/>
      <c r="C4" t="s">
        <v>43</v>
      </c>
    </row>
    <row r="5" spans="1:3" x14ac:dyDescent="0.3">
      <c r="A5" s="23" t="s">
        <v>57</v>
      </c>
      <c r="B5" s="11"/>
      <c r="C5" t="s">
        <v>43</v>
      </c>
    </row>
    <row r="6" spans="1:3" x14ac:dyDescent="0.3">
      <c r="A6" s="23" t="s">
        <v>58</v>
      </c>
      <c r="B6" s="11"/>
      <c r="C6" t="s">
        <v>43</v>
      </c>
    </row>
    <row r="7" spans="1:3" x14ac:dyDescent="0.3">
      <c r="A7" s="23" t="s">
        <v>32</v>
      </c>
      <c r="B7" s="11"/>
      <c r="C7" t="s">
        <v>43</v>
      </c>
    </row>
    <row r="8" spans="1:3" x14ac:dyDescent="0.3">
      <c r="A8" s="23" t="s">
        <v>34</v>
      </c>
      <c r="B8" s="11"/>
      <c r="C8" t="s">
        <v>43</v>
      </c>
    </row>
    <row r="9" spans="1:3" x14ac:dyDescent="0.3">
      <c r="A9" s="23" t="s">
        <v>146</v>
      </c>
      <c r="B9" s="36">
        <v>30</v>
      </c>
      <c r="C9" t="s">
        <v>43</v>
      </c>
    </row>
    <row r="10" spans="1:3" x14ac:dyDescent="0.3">
      <c r="A10" s="23" t="s">
        <v>59</v>
      </c>
      <c r="B10" s="10"/>
      <c r="C10" t="s">
        <v>67</v>
      </c>
    </row>
    <row r="11" spans="1:3" x14ac:dyDescent="0.3">
      <c r="A11" s="23" t="s">
        <v>60</v>
      </c>
      <c r="B11" s="10"/>
      <c r="C11" t="s">
        <v>67</v>
      </c>
    </row>
    <row r="12" spans="1:3" x14ac:dyDescent="0.3">
      <c r="A12" s="23" t="s">
        <v>61</v>
      </c>
      <c r="B12" s="10"/>
      <c r="C12" t="s">
        <v>67</v>
      </c>
    </row>
    <row r="13" spans="1:3" x14ac:dyDescent="0.3">
      <c r="A13" s="23" t="s">
        <v>62</v>
      </c>
      <c r="B13" s="10"/>
      <c r="C13" t="s">
        <v>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4"/>
  <sheetViews>
    <sheetView workbookViewId="0">
      <pane ySplit="2" topLeftCell="A5" activePane="bottomLeft" state="frozen"/>
      <selection pane="bottomLeft" activeCell="A30" sqref="A30"/>
    </sheetView>
  </sheetViews>
  <sheetFormatPr defaultRowHeight="14.4" x14ac:dyDescent="0.3"/>
  <cols>
    <col min="1" max="1" width="105.33203125" bestFit="1" customWidth="1"/>
    <col min="2" max="29" width="22" customWidth="1"/>
  </cols>
  <sheetData>
    <row r="1" spans="1:21" x14ac:dyDescent="0.3">
      <c r="A1" s="12" t="s">
        <v>147</v>
      </c>
      <c r="B1" s="12"/>
    </row>
    <row r="2" spans="1:21" x14ac:dyDescent="0.3">
      <c r="A2" s="23" t="s">
        <v>16</v>
      </c>
      <c r="B2" s="4" t="str">
        <f>Inputs!B2</f>
        <v>Sample Employee</v>
      </c>
      <c r="U2" s="6"/>
    </row>
    <row r="3" spans="1:21" x14ac:dyDescent="0.3">
      <c r="A3" s="23" t="s">
        <v>56</v>
      </c>
      <c r="B3" s="4">
        <f>Inputs!B3</f>
        <v>35000</v>
      </c>
    </row>
    <row r="4" spans="1:21" x14ac:dyDescent="0.3">
      <c r="A4" s="23" t="s">
        <v>63</v>
      </c>
      <c r="B4" s="4">
        <f>Inputs!B4</f>
        <v>0</v>
      </c>
    </row>
    <row r="5" spans="1:21" x14ac:dyDescent="0.3">
      <c r="A5" s="23" t="s">
        <v>57</v>
      </c>
      <c r="B5" s="4">
        <f>Inputs!B5</f>
        <v>0</v>
      </c>
    </row>
    <row r="6" spans="1:21" x14ac:dyDescent="0.3">
      <c r="A6" s="23" t="s">
        <v>58</v>
      </c>
      <c r="B6" s="4">
        <f>Inputs!B6</f>
        <v>0</v>
      </c>
    </row>
    <row r="7" spans="1:21" x14ac:dyDescent="0.3">
      <c r="A7" s="23" t="s">
        <v>32</v>
      </c>
      <c r="B7" s="4">
        <f>Inputs!B7</f>
        <v>0</v>
      </c>
    </row>
    <row r="8" spans="1:21" x14ac:dyDescent="0.3">
      <c r="A8" s="23" t="s">
        <v>34</v>
      </c>
      <c r="B8" s="4">
        <f>Inputs!B8</f>
        <v>0</v>
      </c>
    </row>
    <row r="9" spans="1:21" hidden="1" x14ac:dyDescent="0.3">
      <c r="A9" s="23" t="s">
        <v>59</v>
      </c>
      <c r="B9" s="4">
        <f>Inputs!B10</f>
        <v>0</v>
      </c>
    </row>
    <row r="10" spans="1:21" hidden="1" x14ac:dyDescent="0.3">
      <c r="A10" s="23" t="s">
        <v>60</v>
      </c>
      <c r="B10" s="4">
        <f>Inputs!B11</f>
        <v>0</v>
      </c>
    </row>
    <row r="11" spans="1:21" hidden="1" x14ac:dyDescent="0.3">
      <c r="A11" s="23" t="s">
        <v>61</v>
      </c>
      <c r="B11" s="4">
        <f>Inputs!B12</f>
        <v>0</v>
      </c>
    </row>
    <row r="12" spans="1:21" hidden="1" x14ac:dyDescent="0.3">
      <c r="A12" s="23" t="s">
        <v>62</v>
      </c>
      <c r="B12" s="4">
        <f>Inputs!B13</f>
        <v>0</v>
      </c>
    </row>
    <row r="13" spans="1:21" x14ac:dyDescent="0.3">
      <c r="A13" s="23" t="s">
        <v>18</v>
      </c>
      <c r="B13" s="9">
        <f>SUM(B3:B12)</f>
        <v>35000</v>
      </c>
    </row>
    <row r="14" spans="1:21" x14ac:dyDescent="0.3">
      <c r="A14" s="23" t="s">
        <v>28</v>
      </c>
      <c r="B14" s="4">
        <f>-MIN(B5,Rates!B7)</f>
        <v>0</v>
      </c>
    </row>
    <row r="15" spans="1:21" x14ac:dyDescent="0.3">
      <c r="A15" s="23" t="s">
        <v>27</v>
      </c>
      <c r="B15" s="4">
        <f>-MIN(B6,Rates!$B$8*Rates!B21)</f>
        <v>0</v>
      </c>
    </row>
    <row r="16" spans="1:21" x14ac:dyDescent="0.3">
      <c r="A16" s="23" t="s">
        <v>33</v>
      </c>
      <c r="B16" s="4">
        <f>-MIN(B7,Rates!$B$6)</f>
        <v>0</v>
      </c>
    </row>
    <row r="17" spans="1:4" x14ac:dyDescent="0.3">
      <c r="A17" s="23" t="s">
        <v>35</v>
      </c>
      <c r="B17" s="4">
        <f>-B8</f>
        <v>0</v>
      </c>
    </row>
    <row r="18" spans="1:4" hidden="1" x14ac:dyDescent="0.3">
      <c r="A18" s="23" t="s">
        <v>36</v>
      </c>
      <c r="B18" s="4">
        <f>MIN(B9,Rates!B9)</f>
        <v>0</v>
      </c>
    </row>
    <row r="19" spans="1:4" hidden="1" x14ac:dyDescent="0.3">
      <c r="A19" s="23" t="s">
        <v>30</v>
      </c>
      <c r="B19" s="4">
        <f>MIN(B10,Rates!$B$10)</f>
        <v>0</v>
      </c>
    </row>
    <row r="20" spans="1:4" hidden="1" x14ac:dyDescent="0.3">
      <c r="A20" s="23" t="s">
        <v>38</v>
      </c>
      <c r="B20" s="4">
        <f>MIN(B11,Rates!B11,B3*Rates!B19)</f>
        <v>0</v>
      </c>
    </row>
    <row r="21" spans="1:4" hidden="1" x14ac:dyDescent="0.3">
      <c r="A21" s="23" t="s">
        <v>39</v>
      </c>
      <c r="B21" s="4">
        <f>MIN(Rates!$B$18*Workings!B12,Rates!B12)</f>
        <v>0</v>
      </c>
    </row>
    <row r="22" spans="1:4" x14ac:dyDescent="0.3">
      <c r="A22" s="23" t="s">
        <v>145</v>
      </c>
      <c r="B22" s="4">
        <f>-Rates!B15*MIN(Workings!B13,Rates!B13)</f>
        <v>-420</v>
      </c>
      <c r="C22" s="6"/>
    </row>
    <row r="23" spans="1:4" x14ac:dyDescent="0.3">
      <c r="A23" s="23" t="s">
        <v>144</v>
      </c>
      <c r="B23" s="4">
        <f>-Rates!B15*MAX(MIN(B13, Rates!B14)-Rates!B13, 0)</f>
        <v>-1680</v>
      </c>
      <c r="C23" s="6"/>
    </row>
    <row r="24" spans="1:4" x14ac:dyDescent="0.3">
      <c r="A24" s="23" t="s">
        <v>64</v>
      </c>
      <c r="B24" s="4">
        <f>-IF(B13=0,0,IF(B13*Rates!$B$5&lt;300,300,B13*Rates!$B$5))</f>
        <v>-962.5</v>
      </c>
    </row>
    <row r="25" spans="1:4" x14ac:dyDescent="0.3">
      <c r="A25" s="23" t="s">
        <v>65</v>
      </c>
      <c r="B25" s="4">
        <f>-B13*Rates!B16</f>
        <v>-525</v>
      </c>
    </row>
    <row r="26" spans="1:4" x14ac:dyDescent="0.3">
      <c r="A26" s="23" t="s">
        <v>19</v>
      </c>
      <c r="B26" s="9">
        <f>B13+SUM(B14:B25)</f>
        <v>31412.5</v>
      </c>
    </row>
    <row r="27" spans="1:4" x14ac:dyDescent="0.3">
      <c r="A27" s="23" t="s">
        <v>20</v>
      </c>
      <c r="B27" s="4">
        <f>IF(B26&gt;Rates!B26,Rates!D26,0)+IF(B26&gt;Rates!B27,Rates!D27,0)+IF(B26&gt;Rates!B28,Rates!D28,0)+IF(B26&gt;Rates!B29,Rates!D29,0)+IF(B26&gt;Rates!B29,(B26-Rates!B29)*Rates!C30,0)+IF(B26&lt;Rates!B26,B26*Rates!C26)+IF(AND(Workings!B26&gt;=Rates!A27,Workings!B26&lt;Rates!B27),(Workings!B26-Rates!A27)*Rates!C27,0)+IF(AND(Workings!B26&gt;=Rates!A28,Workings!B26&lt;Rates!B28),(Workings!B26-Rates!A28)*Rates!C28,0)+IF(AND(Workings!B26&gt;=Rates!A29,Workings!B26&lt;Rates!B29),(Workings!B26-Rates!A29)*Rates!C29,0)</f>
        <v>4253.125</v>
      </c>
    </row>
    <row r="28" spans="1:4" x14ac:dyDescent="0.3">
      <c r="A28" s="23" t="s">
        <v>0</v>
      </c>
      <c r="B28" s="4">
        <f>Rates!B2</f>
        <v>2400</v>
      </c>
    </row>
    <row r="29" spans="1:4" x14ac:dyDescent="0.3">
      <c r="A29" s="23" t="s">
        <v>2</v>
      </c>
      <c r="B29" s="4">
        <f>MIN(B21*Rates!B18,Rates!B12)</f>
        <v>0</v>
      </c>
    </row>
    <row r="30" spans="1:4" x14ac:dyDescent="0.3">
      <c r="A30" s="23" t="s">
        <v>21</v>
      </c>
      <c r="B30" s="9">
        <f>MAX(B27-B28-B29,0)</f>
        <v>1853.125</v>
      </c>
      <c r="C30" s="6"/>
    </row>
    <row r="31" spans="1:4" x14ac:dyDescent="0.3">
      <c r="A31" s="23" t="s">
        <v>22</v>
      </c>
      <c r="B31" s="27">
        <f>ROUND(B13+SUM(B14:B25)-B30,0)</f>
        <v>29559</v>
      </c>
      <c r="D31" s="6"/>
    </row>
    <row r="32" spans="1:4" x14ac:dyDescent="0.3">
      <c r="A32" s="23" t="s">
        <v>44</v>
      </c>
      <c r="B32" s="28">
        <f>B31*Inputs!B9/Rates!B21</f>
        <v>29559</v>
      </c>
      <c r="C32" t="s">
        <v>55</v>
      </c>
      <c r="D32" s="6"/>
    </row>
    <row r="33" spans="1:4" x14ac:dyDescent="0.3">
      <c r="A33" s="23" t="s">
        <v>53</v>
      </c>
      <c r="B33" s="26">
        <f>ROUND(IFERROR(B31*Rates!B22,0),0)</f>
        <v>17735</v>
      </c>
      <c r="C33" t="s">
        <v>54</v>
      </c>
      <c r="D33" s="6"/>
    </row>
    <row r="34" spans="1:4" x14ac:dyDescent="0.3">
      <c r="A34" s="23" t="s">
        <v>50</v>
      </c>
      <c r="B34" s="25">
        <f>IFERROR(MIN(B32:B33),0)</f>
        <v>17735</v>
      </c>
      <c r="C34" t="s">
        <v>49</v>
      </c>
      <c r="D34"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2C85-E510-4BE7-8CCD-03BBF1509550}">
  <dimension ref="A1:B10"/>
  <sheetViews>
    <sheetView tabSelected="1" workbookViewId="0">
      <selection activeCell="F14" sqref="F14"/>
    </sheetView>
  </sheetViews>
  <sheetFormatPr defaultRowHeight="14.4" x14ac:dyDescent="0.3"/>
  <cols>
    <col min="1" max="1" width="29.21875" customWidth="1"/>
    <col min="2" max="2" width="11.33203125" bestFit="1" customWidth="1"/>
  </cols>
  <sheetData>
    <row r="1" spans="1:2" x14ac:dyDescent="0.3">
      <c r="A1" s="12" t="s">
        <v>153</v>
      </c>
      <c r="B1" s="12"/>
    </row>
    <row r="2" spans="1:2" x14ac:dyDescent="0.3">
      <c r="A2" s="37" t="s">
        <v>44</v>
      </c>
      <c r="B2" s="39">
        <f>Workings!B32</f>
        <v>29559</v>
      </c>
    </row>
    <row r="3" spans="1:2" x14ac:dyDescent="0.3">
      <c r="A3" s="37" t="s">
        <v>53</v>
      </c>
      <c r="B3" s="40">
        <f>Workings!B33</f>
        <v>17735</v>
      </c>
    </row>
    <row r="4" spans="1:2" x14ac:dyDescent="0.3">
      <c r="A4" s="37" t="s">
        <v>50</v>
      </c>
      <c r="B4" s="39">
        <f>Workings!B34</f>
        <v>17735</v>
      </c>
    </row>
    <row r="5" spans="1:2" x14ac:dyDescent="0.3">
      <c r="A5" s="12" t="s">
        <v>154</v>
      </c>
      <c r="B5" s="12"/>
    </row>
    <row r="6" spans="1:2" x14ac:dyDescent="0.3">
      <c r="A6" s="37" t="s">
        <v>152</v>
      </c>
      <c r="B6" s="38">
        <f>-Workings!B22</f>
        <v>420</v>
      </c>
    </row>
    <row r="7" spans="1:2" x14ac:dyDescent="0.3">
      <c r="A7" s="37" t="s">
        <v>151</v>
      </c>
      <c r="B7" s="38">
        <f>-Workings!B23</f>
        <v>1680</v>
      </c>
    </row>
    <row r="8" spans="1:2" x14ac:dyDescent="0.3">
      <c r="A8" s="37" t="s">
        <v>150</v>
      </c>
      <c r="B8" s="38">
        <f>-Workings!B24</f>
        <v>962.5</v>
      </c>
    </row>
    <row r="9" spans="1:2" x14ac:dyDescent="0.3">
      <c r="A9" s="37" t="s">
        <v>149</v>
      </c>
      <c r="B9" s="38">
        <f>-Workings!B25</f>
        <v>525</v>
      </c>
    </row>
    <row r="10" spans="1:2" x14ac:dyDescent="0.3">
      <c r="A10" s="37" t="s">
        <v>148</v>
      </c>
      <c r="B10" s="38">
        <f>Workings!B30</f>
        <v>1853.125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Rates</vt:lpstr>
      <vt:lpstr>Inputs</vt:lpstr>
      <vt:lpstr>Workings</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Crawford</cp:lastModifiedBy>
  <dcterms:created xsi:type="dcterms:W3CDTF">2025-10-07T11:20:53Z</dcterms:created>
  <dcterms:modified xsi:type="dcterms:W3CDTF">2025-11-03T06:13:50Z</dcterms:modified>
</cp:coreProperties>
</file>