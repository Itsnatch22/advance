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asonCrawford\Downloads\"/>
    </mc:Choice>
  </mc:AlternateContent>
  <xr:revisionPtr revIDLastSave="0" documentId="13_ncr:1_{F6AB7E84-48E8-4346-883B-A7BDB6910F5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Notes" sheetId="5" r:id="rId1"/>
    <sheet name="Rates" sheetId="1" r:id="rId2"/>
    <sheet name="Inputs" sheetId="2" r:id="rId3"/>
    <sheet name="Workings" sheetId="3" r:id="rId4"/>
    <sheet name="Output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6" l="1"/>
  <c r="B7" i="6"/>
  <c r="B6" i="6"/>
  <c r="B9" i="6"/>
  <c r="B17" i="3"/>
  <c r="B16" i="3"/>
  <c r="B15" i="3"/>
  <c r="B14" i="3"/>
  <c r="B23" i="3"/>
  <c r="B22" i="3"/>
  <c r="B12" i="1" l="1"/>
  <c r="B4" i="3"/>
  <c r="B5" i="3"/>
  <c r="B12" i="3" s="1"/>
  <c r="B6" i="3"/>
  <c r="B13" i="3" s="1"/>
  <c r="B7" i="3"/>
  <c r="B8" i="3"/>
  <c r="B9" i="3"/>
  <c r="B10" i="3"/>
  <c r="B3" i="3"/>
  <c r="B2" i="3"/>
  <c r="D20" i="1"/>
  <c r="D19" i="1"/>
  <c r="D18" i="1"/>
  <c r="B11" i="3" l="1"/>
  <c r="B20" i="3" l="1"/>
  <c r="B18" i="3"/>
  <c r="B19" i="3"/>
  <c r="B21" i="3"/>
  <c r="B24" i="3" s="1"/>
  <c r="B25" i="3" l="1"/>
  <c r="B27" i="3" l="1"/>
  <c r="B3" i="6" s="1"/>
  <c r="B26" i="3"/>
  <c r="B28" i="3" l="1"/>
  <c r="B4" i="6" s="1"/>
  <c r="B2" i="6"/>
</calcChain>
</file>

<file path=xl/sharedStrings.xml><?xml version="1.0" encoding="utf-8"?>
<sst xmlns="http://schemas.openxmlformats.org/spreadsheetml/2006/main" count="172" uniqueCount="123">
  <si>
    <t>Personal_Relief</t>
  </si>
  <si>
    <t>Insurance_Relief</t>
  </si>
  <si>
    <t>PAYE_Tax_Bands</t>
  </si>
  <si>
    <t>Lower</t>
  </si>
  <si>
    <t>Upper</t>
  </si>
  <si>
    <t>Rate</t>
  </si>
  <si>
    <t>Employee</t>
  </si>
  <si>
    <t>Sample Employee</t>
  </si>
  <si>
    <t>Total_Income</t>
  </si>
  <si>
    <t>Taxable_Income</t>
  </si>
  <si>
    <t>PAYE_Before_Relief</t>
  </si>
  <si>
    <t>PAYE_After_Relief</t>
  </si>
  <si>
    <t>Net_Pay</t>
  </si>
  <si>
    <t>Medical_Cover_Employer</t>
  </si>
  <si>
    <t>Medical_Cover_Employer_Deductible</t>
  </si>
  <si>
    <t>Tax</t>
  </si>
  <si>
    <t>&lt;-Input</t>
  </si>
  <si>
    <t>Earned_Wage</t>
  </si>
  <si>
    <t>Earned Wage Days</t>
  </si>
  <si>
    <t>Earned_Wage_Days</t>
  </si>
  <si>
    <t>Days in Month</t>
  </si>
  <si>
    <t>Number of Days in Month</t>
  </si>
  <si>
    <t>&lt;-Available Earned Wage</t>
  </si>
  <si>
    <t>Earned_Wage_Available</t>
  </si>
  <si>
    <t>Earned_Wage_Cap</t>
  </si>
  <si>
    <t>Earned_Wage_Max_Cap</t>
  </si>
  <si>
    <t>&lt;-Available Earned Wage Max</t>
  </si>
  <si>
    <t>&lt;-Earned Wage</t>
  </si>
  <si>
    <t>Gross_Pay_Employer</t>
  </si>
  <si>
    <t>Mortgage_Interest_Contribution_Employee</t>
  </si>
  <si>
    <t>Post-retirement_Medical Fund_Contribution_Employee</t>
  </si>
  <si>
    <t>Provident_Fund_Contribution_Employee</t>
  </si>
  <si>
    <t>Life_And_Health_Insurance_Contribution_Employee</t>
  </si>
  <si>
    <t>Other_Remuneration_Employer [Incl. Bonuses, Travel, Cellphone, Housing Allowance, Car Allowance, Housing Allownace]</t>
  </si>
  <si>
    <t>&lt;-Input Not Required [Mabye Consider for More Advanced Modelling]</t>
  </si>
  <si>
    <t>Amount/Threshold</t>
  </si>
  <si>
    <t xml:space="preserve">General </t>
  </si>
  <si>
    <t>Description</t>
  </si>
  <si>
    <t>Inputs</t>
  </si>
  <si>
    <t xml:space="preserve">This matrix outlines the key Statutory Acts &amp; Legal References for statutory PAYE tax limits, rates, levies and reliefts. 
</t>
  </si>
  <si>
    <t>Personal Relief</t>
  </si>
  <si>
    <t>Insurance Relief</t>
  </si>
  <si>
    <t>Reference</t>
  </si>
  <si>
    <t>Limit</t>
  </si>
  <si>
    <t>Employee 6%</t>
  </si>
  <si>
    <t>AHL</t>
  </si>
  <si>
    <t>Pension and provident fund contributions and benefit deductions</t>
  </si>
  <si>
    <t>Feature</t>
  </si>
  <si>
    <t>Earned Wage Access (EWA)</t>
  </si>
  <si>
    <t>Traditional Loan</t>
  </si>
  <si>
    <t>Source of funds</t>
  </si>
  <si>
    <r>
      <t xml:space="preserve">Employee’s </t>
    </r>
    <r>
      <rPr>
        <b/>
        <sz val="11"/>
        <color theme="1"/>
        <rFont val="Calibri"/>
        <family val="2"/>
        <scheme val="minor"/>
      </rPr>
      <t>already earned salary</t>
    </r>
    <r>
      <rPr>
        <sz val="11"/>
        <color theme="1"/>
        <rFont val="Calibri"/>
        <family val="2"/>
        <scheme val="minor"/>
      </rPr>
      <t xml:space="preserve"> (portion of wages due)</t>
    </r>
  </si>
  <si>
    <t>Legal classification</t>
  </si>
  <si>
    <t>Interest or finance charge</t>
  </si>
  <si>
    <t>Repayment source</t>
  </si>
  <si>
    <t>Regulatory body</t>
  </si>
  <si>
    <t>Other_Remuneration_Employer [Incl. Bonuses, Travel, Cellphone, Housing Allowance, Car Allowance]</t>
  </si>
  <si>
    <t>Days_Worked</t>
  </si>
  <si>
    <t>Workings</t>
  </si>
  <si>
    <t>PAYE</t>
  </si>
  <si>
    <t>Output</t>
  </si>
  <si>
    <t>Remittances</t>
  </si>
  <si>
    <t>Comprehensive Statutroy Acts &amp; Legal Frameworks Matrix (Rwanda)</t>
  </si>
  <si>
    <t>Medical reimbursements / employer medical insurance</t>
  </si>
  <si>
    <t>RRA PAYE guidance (employment income scope)</t>
  </si>
  <si>
    <t>Business travel &amp; accommodation (in course of duty)</t>
  </si>
  <si>
    <t>RRA PAYE guide</t>
  </si>
  <si>
    <t>Pension – compulsory scheme</t>
  </si>
  <si>
    <t>Medical insurance (formal sector)</t>
  </si>
  <si>
    <t>Maternity Leave Insurance</t>
  </si>
  <si>
    <t>Permitted deductions / cap</t>
  </si>
  <si>
    <t>EWA (earned-wage access) / advances</t>
  </si>
  <si>
    <t>Labour law framework</t>
  </si>
  <si>
    <t>Housing / car / low-interest loan (benefit valuation)</t>
  </si>
  <si>
    <t>N/A</t>
  </si>
  <si>
    <t>Income Tax Law of 2022 (Law N° 027/2022)</t>
  </si>
  <si>
    <t xml:space="preserve">Bona fide business/medical reimbursements paid on behalf of the employee are not part of taxable employment income when they are genuine reimbursements (documented). No explicit shilling cap. </t>
  </si>
  <si>
    <t xml:space="preserve">Excluded from taxable employment income when incurred or likely to be incurred in performing duties (keep receipts/policy). </t>
  </si>
  <si>
    <t>Business_Travel_Allowance_Employer</t>
  </si>
  <si>
    <t>Business_Travel_Allowance_Deductible</t>
  </si>
  <si>
    <t xml:space="preserve">None. PAYE is applied via progressive bands; the monthly tax-free threshold is RWF 60,000 (then 10%, 20%, 30%). No personal reliefs provided by law (other than wholly-and-exclusively employment expenses). </t>
  </si>
  <si>
    <t>Taxable benefits (include in PAYE) per RRA benefit rules; no special personal deductions.</t>
  </si>
  <si>
    <t>Rwanda Social Security Board (RSSB) Act (Law N° 009/2021)</t>
  </si>
  <si>
    <t xml:space="preserve">Total 12% of gross/basic salary from Jan 2025, split 6% employer + 6% employee (previously 3%+3%). </t>
  </si>
  <si>
    <t>RSSB Law N° 009/2021</t>
  </si>
  <si>
    <t>RSSB Law N° 009/2022</t>
  </si>
  <si>
    <t>RSSB Law N° 009/2023</t>
  </si>
  <si>
    <t>15% of basic salary (7.5% employer + 7.5% employee). Paid monthly via employer to RSSB</t>
  </si>
  <si>
    <t xml:space="preserve">0.6% of gross salary (0.3% employer + 0.3% employee). Employer pays full 12-week leave and seeks RSSB reimbursement for the last 6 weeks. </t>
  </si>
  <si>
    <t>None</t>
  </si>
  <si>
    <t xml:space="preserve">None. </t>
  </si>
  <si>
    <t>Rwanda's Employment Law (Law N° 66/2018, which has been amended by Law N° 027/2023)</t>
  </si>
  <si>
    <t>Law No. 66/2018 regulating Labour</t>
  </si>
  <si>
    <t xml:space="preserve">Deductions must be lawful/consented; practical cap per 2018 law commentary: total deductions must not exceed 50% of salary (older 2009 law had one-third cap). Align your payroll policy to the current 2018 law and keep written consent. </t>
  </si>
  <si>
    <t>Treat as advance of earned wages, not a credit facility, provided the employee consents and deductions respect the overall cap above and appear on the payslip.</t>
  </si>
  <si>
    <t>Wage advance under labour law; payroll deduction with consent and within statutory cap</t>
  </si>
  <si>
    <t>Typically service fee (not interest) if kept as wage advance</t>
  </si>
  <si>
    <t>Payroll deduction from subsequent salary (within cap)</t>
  </si>
  <si>
    <t>National Bank of Rwanda (BNR) only if you are providing payment services (e-money/payment processing) under the Law governing the Payment System (2021); otherwise labour-law compliance via MIFOTRA</t>
  </si>
  <si>
    <t>Third-party credit not yet earned</t>
  </si>
  <si>
    <t>Credit facility under banking/microfinance law</t>
  </si>
  <si>
    <t>Interest-bearing under finance laws</t>
  </si>
  <si>
    <t>Installments from future income</t>
  </si>
  <si>
    <t>BNR under the payment/banking frameworks and microfinance/credit laws for lending activities</t>
  </si>
  <si>
    <t>RSSB_Medical_Insurance_Employee</t>
  </si>
  <si>
    <t>RSSB_Medical_Insurance_Employer</t>
  </si>
  <si>
    <t>RSSB_Medical_Maternity_Employee</t>
  </si>
  <si>
    <t>RSSB_Medical_Maternity_Employer</t>
  </si>
  <si>
    <t>RSSB_Medical_Pension_Employee</t>
  </si>
  <si>
    <t>RSSB_Medical_Pension_Employer</t>
  </si>
  <si>
    <t>Employer 6%</t>
  </si>
  <si>
    <t>Employee 7.5%</t>
  </si>
  <si>
    <t>Employer 7.5%</t>
  </si>
  <si>
    <t>Employee 0.3%</t>
  </si>
  <si>
    <t xml:space="preserve">Monthly cap on net pay </t>
  </si>
  <si>
    <t>Business_Travel_Allowance_Deductible_Cap</t>
  </si>
  <si>
    <t>No Monthly Cap</t>
  </si>
  <si>
    <t>Medical_Allowance_Deductible_Cap</t>
  </si>
  <si>
    <t>Employer 0.3%</t>
  </si>
  <si>
    <t>RSSB_Medical_Insurance</t>
  </si>
  <si>
    <t>RSSB_Medical_Maternity</t>
  </si>
  <si>
    <t>RSSB_Medical_Pension</t>
  </si>
  <si>
    <t>RW₣ /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</si>
</sst>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E6F2FF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CADE4"/>
        <bgColor indexed="64"/>
      </patternFill>
    </fill>
    <fill>
      <patternFill patternType="solid">
        <fgColor rgb="FFD1EFF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5">
    <xf numFmtId="0" fontId="0" fillId="0" borderId="0" xfId="0"/>
    <xf numFmtId="0" fontId="1" fillId="0" borderId="0" xfId="0" applyFont="1"/>
    <xf numFmtId="0" fontId="3" fillId="0" borderId="0" xfId="0" applyFont="1"/>
    <xf numFmtId="165" fontId="0" fillId="0" borderId="0" xfId="1" applyNumberFormat="1" applyFont="1"/>
    <xf numFmtId="43" fontId="0" fillId="0" borderId="1" xfId="1" applyFont="1" applyBorder="1"/>
    <xf numFmtId="165" fontId="0" fillId="0" borderId="0" xfId="0" applyNumberFormat="1"/>
    <xf numFmtId="43" fontId="0" fillId="0" borderId="0" xfId="0" applyNumberFormat="1"/>
    <xf numFmtId="9" fontId="0" fillId="0" borderId="0" xfId="0" applyNumberFormat="1"/>
    <xf numFmtId="43" fontId="4" fillId="4" borderId="1" xfId="1" applyFont="1" applyFill="1" applyBorder="1"/>
    <xf numFmtId="0" fontId="1" fillId="3" borderId="0" xfId="0" applyFont="1" applyFill="1" applyAlignment="1">
      <alignment horizontal="left"/>
    </xf>
    <xf numFmtId="43" fontId="1" fillId="2" borderId="0" xfId="1" applyFont="1" applyFill="1" applyAlignment="1">
      <alignment horizontal="left"/>
    </xf>
    <xf numFmtId="0" fontId="8" fillId="5" borderId="0" xfId="0" applyFont="1" applyFill="1" applyAlignment="1">
      <alignment vertical="center"/>
    </xf>
    <xf numFmtId="37" fontId="9" fillId="6" borderId="0" xfId="1" applyNumberFormat="1" applyFont="1" applyFill="1" applyBorder="1" applyAlignment="1">
      <alignment vertical="center"/>
    </xf>
    <xf numFmtId="0" fontId="0" fillId="6" borderId="0" xfId="0" applyFill="1"/>
    <xf numFmtId="164" fontId="0" fillId="6" borderId="0" xfId="2" applyNumberFormat="1" applyFont="1" applyFill="1"/>
    <xf numFmtId="165" fontId="0" fillId="6" borderId="0" xfId="1" applyNumberFormat="1" applyFont="1" applyFill="1"/>
    <xf numFmtId="2" fontId="0" fillId="6" borderId="0" xfId="0" applyNumberFormat="1" applyFill="1"/>
    <xf numFmtId="9" fontId="0" fillId="6" borderId="0" xfId="2" applyFont="1" applyFill="1"/>
    <xf numFmtId="165" fontId="7" fillId="7" borderId="0" xfId="0" applyNumberFormat="1" applyFont="1" applyFill="1"/>
    <xf numFmtId="0" fontId="5" fillId="8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3" fontId="6" fillId="7" borderId="1" xfId="1" applyFont="1" applyFill="1" applyBorder="1"/>
    <xf numFmtId="43" fontId="3" fillId="9" borderId="1" xfId="1" applyFont="1" applyFill="1" applyBorder="1"/>
    <xf numFmtId="43" fontId="3" fillId="4" borderId="1" xfId="1" applyFont="1" applyFill="1" applyBorder="1"/>
    <xf numFmtId="43" fontId="3" fillId="10" borderId="1" xfId="1" applyFont="1" applyFill="1" applyBorder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10" fillId="4" borderId="0" xfId="0" applyFont="1" applyFill="1" applyAlignment="1">
      <alignment horizontal="left" vertical="center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2" fontId="1" fillId="2" borderId="0" xfId="1" applyNumberFormat="1" applyFont="1" applyFill="1" applyAlignment="1">
      <alignment horizontal="right"/>
    </xf>
    <xf numFmtId="0" fontId="5" fillId="8" borderId="1" xfId="0" applyFont="1" applyFill="1" applyBorder="1" applyAlignment="1">
      <alignment horizontal="left"/>
    </xf>
    <xf numFmtId="165" fontId="3" fillId="10" borderId="1" xfId="1" applyNumberFormat="1" applyFont="1" applyFill="1" applyBorder="1"/>
    <xf numFmtId="165" fontId="3" fillId="9" borderId="1" xfId="1" applyNumberFormat="1" applyFont="1" applyFill="1" applyBorder="1"/>
    <xf numFmtId="0" fontId="8" fillId="5" borderId="3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165" fontId="6" fillId="7" borderId="8" xfId="0" applyNumberFormat="1" applyFont="1" applyFill="1" applyBorder="1"/>
    <xf numFmtId="165" fontId="6" fillId="7" borderId="8" xfId="0" applyNumberFormat="1" applyFont="1" applyFill="1" applyBorder="1" applyAlignment="1">
      <alignment horizontal="left" inden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1CAD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9886C-59C2-4070-B428-D28C427B7CA4}">
  <dimension ref="A1:G31"/>
  <sheetViews>
    <sheetView workbookViewId="0">
      <selection activeCell="A8" sqref="A8"/>
    </sheetView>
  </sheetViews>
  <sheetFormatPr defaultRowHeight="14.4" x14ac:dyDescent="0.3"/>
  <cols>
    <col min="1" max="1" width="38.44140625" customWidth="1"/>
    <col min="2" max="2" width="75.5546875" customWidth="1"/>
    <col min="3" max="3" width="78.88671875" customWidth="1"/>
    <col min="4" max="7" width="28" customWidth="1"/>
  </cols>
  <sheetData>
    <row r="1" spans="1:7" x14ac:dyDescent="0.3">
      <c r="A1" s="11" t="s">
        <v>62</v>
      </c>
      <c r="B1" s="11"/>
      <c r="C1" s="11"/>
      <c r="D1" s="11"/>
      <c r="E1" s="11"/>
      <c r="F1" s="11"/>
      <c r="G1" s="11"/>
    </row>
    <row r="2" spans="1:7" x14ac:dyDescent="0.3">
      <c r="A2" s="37" t="s">
        <v>39</v>
      </c>
      <c r="B2" s="38"/>
      <c r="C2" s="38"/>
      <c r="D2" s="38"/>
      <c r="E2" s="38"/>
      <c r="F2" s="38"/>
      <c r="G2" s="39"/>
    </row>
    <row r="3" spans="1:7" x14ac:dyDescent="0.3">
      <c r="A3" s="40"/>
      <c r="B3" s="41"/>
      <c r="C3" s="41"/>
      <c r="D3" s="41"/>
      <c r="E3" s="41"/>
      <c r="F3" s="41"/>
      <c r="G3" s="42"/>
    </row>
    <row r="4" spans="1:7" x14ac:dyDescent="0.3">
      <c r="A4" s="36" t="s">
        <v>75</v>
      </c>
      <c r="B4" s="36"/>
      <c r="C4" s="36"/>
    </row>
    <row r="5" spans="1:7" x14ac:dyDescent="0.3">
      <c r="A5" s="28" t="s">
        <v>37</v>
      </c>
      <c r="B5" s="28" t="s">
        <v>42</v>
      </c>
      <c r="C5" s="28" t="s">
        <v>43</v>
      </c>
    </row>
    <row r="6" spans="1:7" ht="43.2" x14ac:dyDescent="0.3">
      <c r="A6" s="26" t="s">
        <v>40</v>
      </c>
      <c r="B6" s="29" t="s">
        <v>74</v>
      </c>
      <c r="C6" s="25" t="s">
        <v>80</v>
      </c>
    </row>
    <row r="7" spans="1:7" ht="43.2" x14ac:dyDescent="0.3">
      <c r="A7" s="26" t="s">
        <v>41</v>
      </c>
      <c r="B7" s="29" t="s">
        <v>74</v>
      </c>
      <c r="C7" s="25" t="s">
        <v>80</v>
      </c>
    </row>
    <row r="8" spans="1:7" ht="43.2" x14ac:dyDescent="0.3">
      <c r="A8" s="26" t="s">
        <v>63</v>
      </c>
      <c r="B8" s="29" t="s">
        <v>64</v>
      </c>
      <c r="C8" s="25" t="s">
        <v>76</v>
      </c>
    </row>
    <row r="9" spans="1:7" ht="28.8" x14ac:dyDescent="0.3">
      <c r="A9" s="26" t="s">
        <v>65</v>
      </c>
      <c r="B9" s="29" t="s">
        <v>66</v>
      </c>
      <c r="C9" s="25" t="s">
        <v>77</v>
      </c>
    </row>
    <row r="10" spans="1:7" ht="28.8" x14ac:dyDescent="0.3">
      <c r="A10" s="26" t="s">
        <v>73</v>
      </c>
      <c r="B10" s="27" t="s">
        <v>66</v>
      </c>
      <c r="C10" s="26" t="s">
        <v>81</v>
      </c>
    </row>
    <row r="11" spans="1:7" x14ac:dyDescent="0.3">
      <c r="A11" s="36" t="s">
        <v>82</v>
      </c>
      <c r="B11" s="36"/>
      <c r="C11" s="36"/>
    </row>
    <row r="12" spans="1:7" x14ac:dyDescent="0.3">
      <c r="A12" s="28" t="s">
        <v>37</v>
      </c>
      <c r="B12" s="28" t="s">
        <v>42</v>
      </c>
      <c r="C12" s="28" t="s">
        <v>43</v>
      </c>
    </row>
    <row r="13" spans="1:7" ht="28.8" x14ac:dyDescent="0.3">
      <c r="A13" s="29" t="s">
        <v>67</v>
      </c>
      <c r="B13" s="25" t="s">
        <v>84</v>
      </c>
      <c r="C13" s="26" t="s">
        <v>83</v>
      </c>
    </row>
    <row r="14" spans="1:7" x14ac:dyDescent="0.3">
      <c r="A14" s="29" t="s">
        <v>68</v>
      </c>
      <c r="B14" s="25" t="s">
        <v>85</v>
      </c>
      <c r="C14" s="26" t="s">
        <v>87</v>
      </c>
    </row>
    <row r="15" spans="1:7" ht="28.8" x14ac:dyDescent="0.3">
      <c r="A15" s="29" t="s">
        <v>69</v>
      </c>
      <c r="B15" s="25" t="s">
        <v>86</v>
      </c>
      <c r="C15" s="26" t="s">
        <v>88</v>
      </c>
    </row>
    <row r="16" spans="1:7" x14ac:dyDescent="0.3">
      <c r="A16" s="36" t="s">
        <v>89</v>
      </c>
      <c r="B16" s="36"/>
      <c r="C16" s="36"/>
    </row>
    <row r="17" spans="1:3" x14ac:dyDescent="0.3">
      <c r="A17" s="28" t="s">
        <v>37</v>
      </c>
      <c r="B17" s="28" t="s">
        <v>42</v>
      </c>
      <c r="C17" s="28" t="s">
        <v>43</v>
      </c>
    </row>
    <row r="18" spans="1:3" x14ac:dyDescent="0.3">
      <c r="A18" s="29" t="s">
        <v>45</v>
      </c>
      <c r="B18" s="26" t="s">
        <v>74</v>
      </c>
      <c r="C18" s="29" t="s">
        <v>90</v>
      </c>
    </row>
    <row r="19" spans="1:3" x14ac:dyDescent="0.3">
      <c r="A19" s="36" t="s">
        <v>89</v>
      </c>
      <c r="B19" s="36"/>
      <c r="C19" s="36"/>
    </row>
    <row r="20" spans="1:3" x14ac:dyDescent="0.3">
      <c r="A20" s="28" t="s">
        <v>37</v>
      </c>
      <c r="B20" s="28" t="s">
        <v>42</v>
      </c>
      <c r="C20" s="28" t="s">
        <v>43</v>
      </c>
    </row>
    <row r="21" spans="1:3" x14ac:dyDescent="0.3">
      <c r="A21" s="29" t="s">
        <v>46</v>
      </c>
      <c r="B21" s="25" t="s">
        <v>74</v>
      </c>
      <c r="C21" s="29" t="s">
        <v>74</v>
      </c>
    </row>
    <row r="22" spans="1:3" x14ac:dyDescent="0.3">
      <c r="A22" s="36" t="s">
        <v>91</v>
      </c>
      <c r="B22" s="36"/>
      <c r="C22" s="36"/>
    </row>
    <row r="23" spans="1:3" x14ac:dyDescent="0.3">
      <c r="A23" s="28" t="s">
        <v>37</v>
      </c>
      <c r="B23" s="28" t="s">
        <v>42</v>
      </c>
      <c r="C23" s="28" t="s">
        <v>43</v>
      </c>
    </row>
    <row r="24" spans="1:3" ht="43.2" x14ac:dyDescent="0.3">
      <c r="A24" s="29" t="s">
        <v>70</v>
      </c>
      <c r="B24" s="26" t="s">
        <v>92</v>
      </c>
      <c r="C24" s="26" t="s">
        <v>93</v>
      </c>
    </row>
    <row r="25" spans="1:3" ht="28.8" x14ac:dyDescent="0.3">
      <c r="A25" s="29" t="s">
        <v>71</v>
      </c>
      <c r="B25" s="29" t="s">
        <v>72</v>
      </c>
      <c r="C25" s="26" t="s">
        <v>94</v>
      </c>
    </row>
    <row r="26" spans="1:3" x14ac:dyDescent="0.3">
      <c r="A26" s="28" t="s">
        <v>47</v>
      </c>
      <c r="B26" s="28" t="s">
        <v>48</v>
      </c>
      <c r="C26" s="28" t="s">
        <v>49</v>
      </c>
    </row>
    <row r="27" spans="1:3" x14ac:dyDescent="0.3">
      <c r="A27" s="30" t="s">
        <v>50</v>
      </c>
      <c r="B27" s="30" t="s">
        <v>51</v>
      </c>
      <c r="C27" s="31" t="s">
        <v>99</v>
      </c>
    </row>
    <row r="28" spans="1:3" x14ac:dyDescent="0.3">
      <c r="A28" s="30" t="s">
        <v>52</v>
      </c>
      <c r="B28" s="30" t="s">
        <v>95</v>
      </c>
      <c r="C28" s="30" t="s">
        <v>100</v>
      </c>
    </row>
    <row r="29" spans="1:3" x14ac:dyDescent="0.3">
      <c r="A29" s="30" t="s">
        <v>53</v>
      </c>
      <c r="B29" s="30" t="s">
        <v>96</v>
      </c>
      <c r="C29" s="30" t="s">
        <v>101</v>
      </c>
    </row>
    <row r="30" spans="1:3" x14ac:dyDescent="0.3">
      <c r="A30" s="30" t="s">
        <v>54</v>
      </c>
      <c r="B30" s="30" t="s">
        <v>97</v>
      </c>
      <c r="C30" s="30" t="s">
        <v>102</v>
      </c>
    </row>
    <row r="31" spans="1:3" ht="43.2" x14ac:dyDescent="0.3">
      <c r="A31" s="30" t="s">
        <v>55</v>
      </c>
      <c r="B31" s="30" t="s">
        <v>98</v>
      </c>
      <c r="C31" s="30" t="s">
        <v>103</v>
      </c>
    </row>
  </sheetData>
  <mergeCells count="6">
    <mergeCell ref="A22:C22"/>
    <mergeCell ref="A2:G3"/>
    <mergeCell ref="A4:C4"/>
    <mergeCell ref="A11:C11"/>
    <mergeCell ref="A16:C16"/>
    <mergeCell ref="A19:C19"/>
  </mergeCells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workbookViewId="0">
      <pane ySplit="1" topLeftCell="A2" activePane="bottomLeft" state="frozen"/>
      <selection pane="bottomLeft" activeCell="C8" sqref="C8"/>
    </sheetView>
  </sheetViews>
  <sheetFormatPr defaultRowHeight="14.4" x14ac:dyDescent="0.3"/>
  <cols>
    <col min="1" max="1" width="44.6640625" customWidth="1"/>
    <col min="2" max="2" width="24" customWidth="1"/>
    <col min="3" max="3" width="46.44140625" bestFit="1" customWidth="1"/>
    <col min="5" max="5" width="12.77734375" bestFit="1" customWidth="1"/>
    <col min="6" max="6" width="15" customWidth="1"/>
    <col min="7" max="7" width="11.33203125" bestFit="1" customWidth="1"/>
  </cols>
  <sheetData>
    <row r="1" spans="1:3" x14ac:dyDescent="0.3">
      <c r="A1" s="11" t="s">
        <v>36</v>
      </c>
      <c r="B1" s="11" t="s">
        <v>35</v>
      </c>
      <c r="C1" s="11" t="s">
        <v>37</v>
      </c>
    </row>
    <row r="2" spans="1:3" ht="18" customHeight="1" x14ac:dyDescent="0.3">
      <c r="A2" t="s">
        <v>0</v>
      </c>
      <c r="B2" s="12">
        <v>0</v>
      </c>
      <c r="C2" t="s">
        <v>122</v>
      </c>
    </row>
    <row r="3" spans="1:3" ht="18" customHeight="1" x14ac:dyDescent="0.3">
      <c r="A3" t="s">
        <v>1</v>
      </c>
      <c r="B3" s="13">
        <v>0</v>
      </c>
      <c r="C3" t="s">
        <v>122</v>
      </c>
    </row>
    <row r="4" spans="1:3" ht="18" customHeight="1" x14ac:dyDescent="0.3">
      <c r="A4" t="s">
        <v>115</v>
      </c>
      <c r="B4" s="15">
        <v>0</v>
      </c>
      <c r="C4" t="s">
        <v>116</v>
      </c>
    </row>
    <row r="5" spans="1:3" ht="18" customHeight="1" x14ac:dyDescent="0.3">
      <c r="A5" t="s">
        <v>117</v>
      </c>
      <c r="B5" s="15">
        <v>0</v>
      </c>
      <c r="C5" t="s">
        <v>116</v>
      </c>
    </row>
    <row r="6" spans="1:3" ht="18" customHeight="1" x14ac:dyDescent="0.3">
      <c r="A6" t="s">
        <v>104</v>
      </c>
      <c r="B6" s="14">
        <v>7.4999999999999997E-2</v>
      </c>
      <c r="C6" t="s">
        <v>111</v>
      </c>
    </row>
    <row r="7" spans="1:3" ht="18" customHeight="1" x14ac:dyDescent="0.3">
      <c r="A7" t="s">
        <v>105</v>
      </c>
      <c r="B7" s="14">
        <v>7.4999999999999997E-2</v>
      </c>
      <c r="C7" t="s">
        <v>112</v>
      </c>
    </row>
    <row r="8" spans="1:3" ht="18" customHeight="1" x14ac:dyDescent="0.3">
      <c r="A8" t="s">
        <v>106</v>
      </c>
      <c r="B8" s="14">
        <v>3.0000000000000001E-3</v>
      </c>
      <c r="C8" t="s">
        <v>113</v>
      </c>
    </row>
    <row r="9" spans="1:3" ht="18" customHeight="1" x14ac:dyDescent="0.3">
      <c r="A9" t="s">
        <v>107</v>
      </c>
      <c r="B9" s="14">
        <v>3.0000000000000001E-3</v>
      </c>
      <c r="C9" t="s">
        <v>118</v>
      </c>
    </row>
    <row r="10" spans="1:3" ht="18" customHeight="1" x14ac:dyDescent="0.3">
      <c r="A10" t="s">
        <v>108</v>
      </c>
      <c r="B10" s="14">
        <v>0.06</v>
      </c>
      <c r="C10" t="s">
        <v>44</v>
      </c>
    </row>
    <row r="11" spans="1:3" ht="18" customHeight="1" x14ac:dyDescent="0.3">
      <c r="A11" t="s">
        <v>109</v>
      </c>
      <c r="B11" s="14">
        <v>0.06</v>
      </c>
      <c r="C11" t="s">
        <v>110</v>
      </c>
    </row>
    <row r="12" spans="1:3" ht="18" customHeight="1" x14ac:dyDescent="0.3">
      <c r="A12" t="s">
        <v>19</v>
      </c>
      <c r="B12" s="16">
        <f>Inputs!B7</f>
        <v>30</v>
      </c>
      <c r="C12" t="s">
        <v>18</v>
      </c>
    </row>
    <row r="13" spans="1:3" ht="18" customHeight="1" x14ac:dyDescent="0.3">
      <c r="A13" t="s">
        <v>20</v>
      </c>
      <c r="B13" s="16">
        <v>30</v>
      </c>
      <c r="C13" t="s">
        <v>21</v>
      </c>
    </row>
    <row r="14" spans="1:3" ht="18" customHeight="1" x14ac:dyDescent="0.3">
      <c r="A14" t="s">
        <v>24</v>
      </c>
      <c r="B14" s="17">
        <v>0.45</v>
      </c>
      <c r="C14" t="s">
        <v>114</v>
      </c>
    </row>
    <row r="15" spans="1:3" ht="18" customHeight="1" x14ac:dyDescent="0.3">
      <c r="B15" s="7"/>
    </row>
    <row r="16" spans="1:3" ht="18" customHeight="1" x14ac:dyDescent="0.3">
      <c r="A16" s="11" t="s">
        <v>2</v>
      </c>
    </row>
    <row r="17" spans="1:7" ht="18" customHeight="1" x14ac:dyDescent="0.3">
      <c r="A17" s="1" t="s">
        <v>3</v>
      </c>
      <c r="B17" s="1" t="s">
        <v>4</v>
      </c>
      <c r="C17" s="1" t="s">
        <v>5</v>
      </c>
      <c r="D17" s="1" t="s">
        <v>15</v>
      </c>
    </row>
    <row r="18" spans="1:7" ht="18" customHeight="1" x14ac:dyDescent="0.3">
      <c r="A18" s="15">
        <v>0</v>
      </c>
      <c r="B18" s="15">
        <v>60000</v>
      </c>
      <c r="C18" s="17">
        <v>0</v>
      </c>
      <c r="D18" s="18">
        <f>B18*C18</f>
        <v>0</v>
      </c>
      <c r="E18" s="5"/>
      <c r="F18" s="5"/>
    </row>
    <row r="19" spans="1:7" ht="18" customHeight="1" x14ac:dyDescent="0.3">
      <c r="A19" s="15">
        <v>60001</v>
      </c>
      <c r="B19" s="15">
        <v>100000</v>
      </c>
      <c r="C19" s="17">
        <v>0.1</v>
      </c>
      <c r="D19" s="18">
        <f>(B19-B18)*C19</f>
        <v>4000</v>
      </c>
      <c r="E19" s="5"/>
      <c r="F19" s="5"/>
    </row>
    <row r="20" spans="1:7" ht="18" customHeight="1" x14ac:dyDescent="0.3">
      <c r="A20" s="15">
        <v>100001</v>
      </c>
      <c r="B20" s="15">
        <v>200000</v>
      </c>
      <c r="C20" s="17">
        <v>0.2</v>
      </c>
      <c r="D20" s="18">
        <f>(B20-B19)*C20</f>
        <v>20000</v>
      </c>
      <c r="E20" s="5"/>
      <c r="F20" s="5"/>
    </row>
    <row r="21" spans="1:7" ht="18" customHeight="1" x14ac:dyDescent="0.3">
      <c r="A21" s="15">
        <v>200001</v>
      </c>
      <c r="B21" s="15"/>
      <c r="C21" s="17">
        <v>0.3</v>
      </c>
      <c r="D21" s="18"/>
      <c r="E21" s="5"/>
      <c r="F21" s="5"/>
    </row>
    <row r="22" spans="1:7" ht="18" customHeight="1" x14ac:dyDescent="0.3">
      <c r="E22" s="5"/>
      <c r="F22" s="6"/>
      <c r="G22" s="6"/>
    </row>
    <row r="23" spans="1:7" ht="18" customHeight="1" x14ac:dyDescent="0.3">
      <c r="E23" s="5"/>
    </row>
    <row r="24" spans="1:7" ht="18" customHeight="1" x14ac:dyDescent="0.3">
      <c r="A24" s="1"/>
      <c r="B24" s="2"/>
      <c r="C24" s="2"/>
    </row>
    <row r="25" spans="1:7" ht="18" customHeight="1" x14ac:dyDescent="0.3">
      <c r="A25" s="3"/>
      <c r="B25" s="3"/>
      <c r="C25" s="3"/>
    </row>
    <row r="26" spans="1:7" ht="18" customHeight="1" x14ac:dyDescent="0.3">
      <c r="A26" s="3"/>
      <c r="B26" s="3"/>
      <c r="C26" s="3"/>
    </row>
    <row r="27" spans="1:7" ht="18" customHeight="1" x14ac:dyDescent="0.3">
      <c r="A27" s="3"/>
      <c r="B27" s="3"/>
      <c r="C27" s="3"/>
    </row>
    <row r="28" spans="1:7" ht="18" customHeight="1" x14ac:dyDescent="0.3">
      <c r="A28" s="3"/>
      <c r="B28" s="3"/>
      <c r="C28" s="3"/>
    </row>
    <row r="29" spans="1:7" ht="18" customHeight="1" x14ac:dyDescent="0.3">
      <c r="A29" s="3"/>
      <c r="B29" s="3"/>
      <c r="C29" s="3"/>
    </row>
    <row r="30" spans="1:7" ht="18" customHeight="1" x14ac:dyDescent="0.3">
      <c r="A30" s="3"/>
      <c r="B30" s="3"/>
      <c r="C30" s="3"/>
    </row>
    <row r="31" spans="1:7" ht="18" customHeight="1" x14ac:dyDescent="0.3">
      <c r="A31" s="3"/>
      <c r="B31" s="3"/>
      <c r="C31" s="3"/>
    </row>
    <row r="32" spans="1:7" ht="18" customHeight="1" x14ac:dyDescent="0.3">
      <c r="A32" s="3"/>
      <c r="B32" s="3"/>
      <c r="C32" s="3"/>
    </row>
    <row r="33" spans="1:3" ht="18" customHeight="1" x14ac:dyDescent="0.3">
      <c r="A33" s="3"/>
      <c r="B33" s="3"/>
      <c r="C33" s="3"/>
    </row>
    <row r="34" spans="1:3" ht="18" customHeight="1" x14ac:dyDescent="0.3">
      <c r="A34" s="3"/>
      <c r="B34" s="3"/>
      <c r="C34" s="3"/>
    </row>
    <row r="35" spans="1:3" ht="18" customHeight="1" x14ac:dyDescent="0.3">
      <c r="A35" s="3"/>
      <c r="B35" s="3"/>
      <c r="C35" s="3"/>
    </row>
    <row r="36" spans="1:3" ht="18" customHeight="1" x14ac:dyDescent="0.3">
      <c r="A36" s="3"/>
      <c r="B36" s="3"/>
      <c r="C36" s="3"/>
    </row>
    <row r="37" spans="1:3" ht="18" customHeight="1" x14ac:dyDescent="0.3">
      <c r="A37" s="3"/>
      <c r="B37" s="3"/>
      <c r="C37" s="3"/>
    </row>
    <row r="38" spans="1:3" ht="18" customHeight="1" x14ac:dyDescent="0.3">
      <c r="A38" s="3"/>
      <c r="B38" s="3"/>
      <c r="C38" s="3"/>
    </row>
    <row r="39" spans="1:3" ht="18" customHeight="1" x14ac:dyDescent="0.3">
      <c r="A39" s="3"/>
      <c r="B39" s="3"/>
      <c r="C39" s="3"/>
    </row>
    <row r="40" spans="1:3" ht="18" customHeight="1" x14ac:dyDescent="0.3">
      <c r="A40" s="3"/>
      <c r="B40" s="3"/>
      <c r="C40" s="3"/>
    </row>
    <row r="41" spans="1:3" ht="18" customHeight="1" x14ac:dyDescent="0.3">
      <c r="A41" s="3"/>
      <c r="B41" s="3"/>
      <c r="C41" s="3"/>
    </row>
    <row r="42" spans="1:3" ht="18" customHeight="1" x14ac:dyDescent="0.3">
      <c r="A42" s="3"/>
      <c r="B42" s="3"/>
      <c r="C42" s="3"/>
    </row>
    <row r="43" spans="1:3" ht="18" customHeight="1" x14ac:dyDescent="0.3">
      <c r="A43" s="3"/>
      <c r="B43" s="3"/>
      <c r="C43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pane ySplit="2" topLeftCell="A3" activePane="bottomLeft" state="frozen"/>
      <selection pane="bottomLeft" activeCell="B3" sqref="B3"/>
    </sheetView>
  </sheetViews>
  <sheetFormatPr defaultRowHeight="14.4" x14ac:dyDescent="0.3"/>
  <cols>
    <col min="1" max="1" width="46.21875" bestFit="1" customWidth="1"/>
    <col min="2" max="2" width="22" customWidth="1"/>
    <col min="3" max="3" width="58.88671875" bestFit="1" customWidth="1"/>
    <col min="4" max="9" width="22" customWidth="1"/>
    <col min="10" max="10" width="39" bestFit="1" customWidth="1"/>
    <col min="11" max="11" width="10.33203125" bestFit="1" customWidth="1"/>
    <col min="12" max="12" width="11.33203125" bestFit="1" customWidth="1"/>
  </cols>
  <sheetData>
    <row r="1" spans="1:3" x14ac:dyDescent="0.3">
      <c r="A1" s="11" t="s">
        <v>38</v>
      </c>
      <c r="B1" s="11"/>
      <c r="C1" s="11"/>
    </row>
    <row r="2" spans="1:3" x14ac:dyDescent="0.3">
      <c r="A2" s="19" t="s">
        <v>6</v>
      </c>
      <c r="B2" s="20" t="s">
        <v>7</v>
      </c>
      <c r="C2" t="s">
        <v>16</v>
      </c>
    </row>
    <row r="3" spans="1:3" x14ac:dyDescent="0.3">
      <c r="A3" s="19" t="s">
        <v>28</v>
      </c>
      <c r="B3" s="10">
        <v>80000</v>
      </c>
      <c r="C3" t="s">
        <v>16</v>
      </c>
    </row>
    <row r="4" spans="1:3" x14ac:dyDescent="0.3">
      <c r="A4" s="19" t="s">
        <v>56</v>
      </c>
      <c r="B4" s="10"/>
      <c r="C4" t="s">
        <v>16</v>
      </c>
    </row>
    <row r="5" spans="1:3" x14ac:dyDescent="0.3">
      <c r="A5" s="19" t="s">
        <v>78</v>
      </c>
      <c r="B5" s="10"/>
      <c r="C5" t="s">
        <v>16</v>
      </c>
    </row>
    <row r="6" spans="1:3" x14ac:dyDescent="0.3">
      <c r="A6" s="19" t="s">
        <v>13</v>
      </c>
      <c r="B6" s="10"/>
      <c r="C6" t="s">
        <v>16</v>
      </c>
    </row>
    <row r="7" spans="1:3" x14ac:dyDescent="0.3">
      <c r="A7" s="19" t="s">
        <v>57</v>
      </c>
      <c r="B7" s="32">
        <v>30</v>
      </c>
      <c r="C7" t="s">
        <v>16</v>
      </c>
    </row>
    <row r="8" spans="1:3" x14ac:dyDescent="0.3">
      <c r="A8" s="19" t="s">
        <v>29</v>
      </c>
      <c r="B8" s="9"/>
      <c r="C8" t="s">
        <v>34</v>
      </c>
    </row>
    <row r="9" spans="1:3" x14ac:dyDescent="0.3">
      <c r="A9" s="19" t="s">
        <v>30</v>
      </c>
      <c r="B9" s="9"/>
      <c r="C9" t="s">
        <v>34</v>
      </c>
    </row>
    <row r="10" spans="1:3" x14ac:dyDescent="0.3">
      <c r="A10" s="19" t="s">
        <v>31</v>
      </c>
      <c r="B10" s="9"/>
      <c r="C10" t="s">
        <v>34</v>
      </c>
    </row>
    <row r="11" spans="1:3" x14ac:dyDescent="0.3">
      <c r="A11" s="19" t="s">
        <v>32</v>
      </c>
      <c r="B11" s="9"/>
      <c r="C11" t="s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8"/>
  <sheetViews>
    <sheetView workbookViewId="0">
      <pane ySplit="2" topLeftCell="A6" activePane="bottomLeft" state="frozen"/>
      <selection pane="bottomLeft" activeCell="A24" sqref="A24"/>
    </sheetView>
  </sheetViews>
  <sheetFormatPr defaultRowHeight="14.4" x14ac:dyDescent="0.3"/>
  <cols>
    <col min="1" max="1" width="105.33203125" bestFit="1" customWidth="1"/>
    <col min="2" max="29" width="22" customWidth="1"/>
  </cols>
  <sheetData>
    <row r="1" spans="1:21" x14ac:dyDescent="0.3">
      <c r="A1" s="11" t="s">
        <v>58</v>
      </c>
      <c r="B1" s="11"/>
    </row>
    <row r="2" spans="1:21" x14ac:dyDescent="0.3">
      <c r="A2" s="19" t="s">
        <v>6</v>
      </c>
      <c r="B2" s="4" t="str">
        <f>Inputs!B2</f>
        <v>Sample Employee</v>
      </c>
      <c r="U2" s="6"/>
    </row>
    <row r="3" spans="1:21" x14ac:dyDescent="0.3">
      <c r="A3" s="19" t="s">
        <v>28</v>
      </c>
      <c r="B3" s="4">
        <f>Inputs!B3</f>
        <v>80000</v>
      </c>
    </row>
    <row r="4" spans="1:21" x14ac:dyDescent="0.3">
      <c r="A4" s="19" t="s">
        <v>33</v>
      </c>
      <c r="B4" s="4">
        <f>Inputs!B4</f>
        <v>0</v>
      </c>
    </row>
    <row r="5" spans="1:21" x14ac:dyDescent="0.3">
      <c r="A5" s="19" t="s">
        <v>78</v>
      </c>
      <c r="B5" s="4">
        <f>Inputs!B5</f>
        <v>0</v>
      </c>
    </row>
    <row r="6" spans="1:21" x14ac:dyDescent="0.3">
      <c r="A6" s="19" t="s">
        <v>13</v>
      </c>
      <c r="B6" s="4">
        <f>Inputs!B6</f>
        <v>0</v>
      </c>
    </row>
    <row r="7" spans="1:21" hidden="1" x14ac:dyDescent="0.3">
      <c r="A7" s="19" t="s">
        <v>29</v>
      </c>
      <c r="B7" s="4">
        <f>Inputs!B8</f>
        <v>0</v>
      </c>
    </row>
    <row r="8" spans="1:21" hidden="1" x14ac:dyDescent="0.3">
      <c r="A8" s="19" t="s">
        <v>30</v>
      </c>
      <c r="B8" s="4">
        <f>Inputs!B9</f>
        <v>0</v>
      </c>
    </row>
    <row r="9" spans="1:21" hidden="1" x14ac:dyDescent="0.3">
      <c r="A9" s="19" t="s">
        <v>31</v>
      </c>
      <c r="B9" s="4">
        <f>Inputs!B10</f>
        <v>0</v>
      </c>
    </row>
    <row r="10" spans="1:21" hidden="1" x14ac:dyDescent="0.3">
      <c r="A10" s="19" t="s">
        <v>32</v>
      </c>
      <c r="B10" s="4">
        <f>Inputs!B11</f>
        <v>0</v>
      </c>
    </row>
    <row r="11" spans="1:21" x14ac:dyDescent="0.3">
      <c r="A11" s="19" t="s">
        <v>8</v>
      </c>
      <c r="B11" s="8">
        <f>SUM(B3:B10)</f>
        <v>80000</v>
      </c>
    </row>
    <row r="12" spans="1:21" x14ac:dyDescent="0.3">
      <c r="A12" s="19" t="s">
        <v>79</v>
      </c>
      <c r="B12" s="4">
        <f>-MAX(B5,Rates!B4)</f>
        <v>0</v>
      </c>
    </row>
    <row r="13" spans="1:21" x14ac:dyDescent="0.3">
      <c r="A13" s="19" t="s">
        <v>14</v>
      </c>
      <c r="B13" s="4">
        <f>-MAX(Rates!B5,Workings!B6)</f>
        <v>0</v>
      </c>
    </row>
    <row r="14" spans="1:21" x14ac:dyDescent="0.3">
      <c r="A14" s="19" t="s">
        <v>9</v>
      </c>
      <c r="B14" s="8">
        <f>B11+SUM(B12:B13)</f>
        <v>80000</v>
      </c>
    </row>
    <row r="15" spans="1:21" x14ac:dyDescent="0.3">
      <c r="A15" s="19" t="s">
        <v>104</v>
      </c>
      <c r="B15" s="4">
        <f>B11*Rates!B6</f>
        <v>6000</v>
      </c>
      <c r="C15" s="6"/>
    </row>
    <row r="16" spans="1:21" x14ac:dyDescent="0.3">
      <c r="A16" s="19" t="s">
        <v>106</v>
      </c>
      <c r="B16" s="4">
        <f>B11*Rates!B8</f>
        <v>240</v>
      </c>
      <c r="C16" s="6"/>
    </row>
    <row r="17" spans="1:4" x14ac:dyDescent="0.3">
      <c r="A17" s="19" t="s">
        <v>108</v>
      </c>
      <c r="B17" s="4">
        <f>B11*Rates!B10</f>
        <v>4800</v>
      </c>
    </row>
    <row r="18" spans="1:4" x14ac:dyDescent="0.3">
      <c r="A18" s="19" t="s">
        <v>105</v>
      </c>
      <c r="B18" s="4">
        <f>Rates!B7*B11</f>
        <v>6000</v>
      </c>
    </row>
    <row r="19" spans="1:4" x14ac:dyDescent="0.3">
      <c r="A19" s="19" t="s">
        <v>107</v>
      </c>
      <c r="B19" s="4">
        <f>B11*Rates!B9</f>
        <v>240</v>
      </c>
    </row>
    <row r="20" spans="1:4" x14ac:dyDescent="0.3">
      <c r="A20" s="19" t="s">
        <v>109</v>
      </c>
      <c r="B20" s="4">
        <f>B11*Rates!B11</f>
        <v>4800</v>
      </c>
    </row>
    <row r="21" spans="1:4" x14ac:dyDescent="0.3">
      <c r="A21" s="19" t="s">
        <v>10</v>
      </c>
      <c r="B21" s="4">
        <f>IF(B14&gt;=Rates!A21,Rates!C21*(B14-Rates!A21)+Rates!D20+Rates!D19,0)+IF(AND(B14&gt;=Rates!A20,B14&lt;=Rates!B20),Rates!C20*(B14-Rates!A20)+Rates!D19)+IF(AND(B14&gt;=Rates!A19,B14&lt;=Rates!B19),Rates!C19*(B14-Rates!A19)+Rates!D18)+IF(B14&lt;=Rates!B18,0,0)</f>
        <v>1999.9</v>
      </c>
    </row>
    <row r="22" spans="1:4" x14ac:dyDescent="0.3">
      <c r="A22" s="19" t="s">
        <v>0</v>
      </c>
      <c r="B22" s="4">
        <f>Rates!B2</f>
        <v>0</v>
      </c>
    </row>
    <row r="23" spans="1:4" x14ac:dyDescent="0.3">
      <c r="A23" s="19" t="s">
        <v>1</v>
      </c>
      <c r="B23" s="4">
        <f>Rates!B3</f>
        <v>0</v>
      </c>
    </row>
    <row r="24" spans="1:4" x14ac:dyDescent="0.3">
      <c r="A24" s="19" t="s">
        <v>11</v>
      </c>
      <c r="B24" s="8">
        <f>MAX(B21-B22-B23,0)</f>
        <v>1999.9</v>
      </c>
      <c r="C24" s="6"/>
    </row>
    <row r="25" spans="1:4" x14ac:dyDescent="0.3">
      <c r="A25" s="19" t="s">
        <v>12</v>
      </c>
      <c r="B25" s="23">
        <f>ROUND(B11+SUM(B12:B17)-B24,0)</f>
        <v>169040</v>
      </c>
      <c r="D25" s="6"/>
    </row>
    <row r="26" spans="1:4" x14ac:dyDescent="0.3">
      <c r="A26" s="19" t="s">
        <v>17</v>
      </c>
      <c r="B26" s="24">
        <f>B25*Inputs!B7/Rates!B13</f>
        <v>169040</v>
      </c>
      <c r="C26" t="s">
        <v>27</v>
      </c>
      <c r="D26" s="6"/>
    </row>
    <row r="27" spans="1:4" x14ac:dyDescent="0.3">
      <c r="A27" s="19" t="s">
        <v>25</v>
      </c>
      <c r="B27" s="22">
        <f>ROUND(IFERROR(B25*Rates!B14,0),0)</f>
        <v>76068</v>
      </c>
      <c r="C27" t="s">
        <v>26</v>
      </c>
      <c r="D27" s="6"/>
    </row>
    <row r="28" spans="1:4" x14ac:dyDescent="0.3">
      <c r="A28" s="19" t="s">
        <v>23</v>
      </c>
      <c r="B28" s="21">
        <f>IFERROR(MIN(B26:B27),0)</f>
        <v>76068</v>
      </c>
      <c r="C28" t="s">
        <v>22</v>
      </c>
      <c r="D28" s="6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72C85-E510-4BE7-8CCD-03BBF1509550}">
  <dimension ref="A1:B9"/>
  <sheetViews>
    <sheetView workbookViewId="0">
      <selection activeCell="O9" sqref="O9"/>
    </sheetView>
  </sheetViews>
  <sheetFormatPr defaultRowHeight="14.4" x14ac:dyDescent="0.3"/>
  <cols>
    <col min="1" max="1" width="31" bestFit="1" customWidth="1"/>
    <col min="2" max="2" width="11.33203125" bestFit="1" customWidth="1"/>
  </cols>
  <sheetData>
    <row r="1" spans="1:2" x14ac:dyDescent="0.3">
      <c r="A1" s="11" t="s">
        <v>60</v>
      </c>
      <c r="B1" s="11"/>
    </row>
    <row r="2" spans="1:2" x14ac:dyDescent="0.3">
      <c r="A2" s="33" t="s">
        <v>17</v>
      </c>
      <c r="B2" s="34">
        <f>Workings!B26</f>
        <v>169040</v>
      </c>
    </row>
    <row r="3" spans="1:2" x14ac:dyDescent="0.3">
      <c r="A3" s="33" t="s">
        <v>25</v>
      </c>
      <c r="B3" s="35">
        <f>Workings!B27</f>
        <v>76068</v>
      </c>
    </row>
    <row r="4" spans="1:2" x14ac:dyDescent="0.3">
      <c r="A4" s="33" t="s">
        <v>23</v>
      </c>
      <c r="B4" s="34">
        <f>Workings!B28</f>
        <v>76068</v>
      </c>
    </row>
    <row r="5" spans="1:2" x14ac:dyDescent="0.3">
      <c r="A5" s="11" t="s">
        <v>61</v>
      </c>
      <c r="B5" s="11"/>
    </row>
    <row r="6" spans="1:2" x14ac:dyDescent="0.3">
      <c r="A6" s="33" t="s">
        <v>119</v>
      </c>
      <c r="B6" s="44">
        <f>Workings!B15+Workings!B18</f>
        <v>12000</v>
      </c>
    </row>
    <row r="7" spans="1:2" x14ac:dyDescent="0.3">
      <c r="A7" s="33" t="s">
        <v>120</v>
      </c>
      <c r="B7" s="43">
        <f>Workings!B16+Workings!B19</f>
        <v>480</v>
      </c>
    </row>
    <row r="8" spans="1:2" x14ac:dyDescent="0.3">
      <c r="A8" s="33" t="s">
        <v>121</v>
      </c>
      <c r="B8" s="43">
        <f>Workings!B17+Workings!B20</f>
        <v>9600</v>
      </c>
    </row>
    <row r="9" spans="1:2" x14ac:dyDescent="0.3">
      <c r="A9" s="33" t="s">
        <v>59</v>
      </c>
      <c r="B9" s="43">
        <f>Workings!B21</f>
        <v>1999.9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Notes</vt:lpstr>
      <vt:lpstr>Rates</vt:lpstr>
      <vt:lpstr>Inputs</vt:lpstr>
      <vt:lpstr>Workings</vt:lpstr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Crawford</cp:lastModifiedBy>
  <dcterms:created xsi:type="dcterms:W3CDTF">2025-10-07T11:20:53Z</dcterms:created>
  <dcterms:modified xsi:type="dcterms:W3CDTF">2025-11-03T07:02:52Z</dcterms:modified>
</cp:coreProperties>
</file>