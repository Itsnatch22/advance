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sonCrawford\Downloads\"/>
    </mc:Choice>
  </mc:AlternateContent>
  <xr:revisionPtr revIDLastSave="0" documentId="13_ncr:1_{04DA28D3-C514-450E-8072-671DC0164C06}" xr6:coauthVersionLast="47" xr6:coauthVersionMax="47" xr10:uidLastSave="{00000000-0000-0000-0000-000000000000}"/>
  <bookViews>
    <workbookView xWindow="-108" yWindow="-108" windowWidth="23256" windowHeight="12456" activeTab="4" xr2:uid="{00000000-000D-0000-FFFF-FFFF00000000}"/>
  </bookViews>
  <sheets>
    <sheet name="Notes" sheetId="5" r:id="rId1"/>
    <sheet name="Rates" sheetId="1" r:id="rId2"/>
    <sheet name="Inputs" sheetId="2" r:id="rId3"/>
    <sheet name="Workings" sheetId="3" r:id="rId4"/>
    <sheet name="Output"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6" l="1"/>
  <c r="B8" i="6"/>
  <c r="B9" i="6"/>
  <c r="B10" i="6"/>
  <c r="B11" i="6"/>
  <c r="B7" i="6"/>
  <c r="B6" i="6"/>
  <c r="B3" i="6"/>
  <c r="B17" i="3"/>
  <c r="B15" i="3"/>
  <c r="B12" i="3"/>
  <c r="B13" i="3"/>
  <c r="B27" i="3"/>
  <c r="B10" i="3"/>
  <c r="B5" i="3"/>
  <c r="B19" i="1" l="1"/>
  <c r="B18" i="1"/>
  <c r="B26" i="3"/>
  <c r="B4" i="3"/>
  <c r="B6" i="3"/>
  <c r="B7" i="3"/>
  <c r="B14" i="3" s="1"/>
  <c r="B8" i="3"/>
  <c r="B9" i="3"/>
  <c r="B16" i="3" s="1"/>
  <c r="B3" i="3"/>
  <c r="B2" i="3"/>
  <c r="D27" i="1"/>
  <c r="D26" i="1"/>
  <c r="D25" i="1"/>
  <c r="D24" i="1"/>
  <c r="B11" i="3" l="1"/>
  <c r="B22" i="3" s="1"/>
  <c r="B21" i="3"/>
  <c r="B20" i="3" l="1"/>
  <c r="B18" i="3"/>
  <c r="B19" i="3" s="1"/>
  <c r="B25" i="3" s="1"/>
  <c r="B28" i="3" s="1"/>
  <c r="B29" i="3" s="1"/>
  <c r="B23" i="3"/>
  <c r="B24" i="3"/>
  <c r="B31" i="3" l="1"/>
  <c r="B30" i="3"/>
  <c r="B2" i="6" s="1"/>
  <c r="B32" i="3" l="1"/>
  <c r="B4" i="6" s="1"/>
</calcChain>
</file>

<file path=xl/sharedStrings.xml><?xml version="1.0" encoding="utf-8"?>
<sst xmlns="http://schemas.openxmlformats.org/spreadsheetml/2006/main" count="226" uniqueCount="165">
  <si>
    <t>Personal_Relief</t>
  </si>
  <si>
    <t>Insurance_Relief</t>
  </si>
  <si>
    <t>Pension_Deductible_Cap</t>
  </si>
  <si>
    <t>NSSF_Employee_Rate</t>
  </si>
  <si>
    <t>PAYE_Tax_Bands</t>
  </si>
  <si>
    <t>Lower</t>
  </si>
  <si>
    <t>Upper</t>
  </si>
  <si>
    <t>Rate</t>
  </si>
  <si>
    <t>Employee</t>
  </si>
  <si>
    <t>Sample Employee</t>
  </si>
  <si>
    <t>Total_Income</t>
  </si>
  <si>
    <t>PAYE_Before_Relief</t>
  </si>
  <si>
    <t>PAYE_After_Relief</t>
  </si>
  <si>
    <t>Net_Pay</t>
  </si>
  <si>
    <t>Monthly cap on deductible</t>
  </si>
  <si>
    <t>Night-Out_Deductible_Cap</t>
  </si>
  <si>
    <t>Daily cap on deductible</t>
  </si>
  <si>
    <t>NightOut_Allowance_Deductible</t>
  </si>
  <si>
    <t>Pension_Cover_Employer</t>
  </si>
  <si>
    <t>Pension_Cover_Deductible</t>
  </si>
  <si>
    <t>Medical_Cover_Employer</t>
  </si>
  <si>
    <t>Medical_Cover_Employer_Deductible</t>
  </si>
  <si>
    <t>Life_And_Health_Insurance_Deductible_Limit</t>
  </si>
  <si>
    <t>Tax</t>
  </si>
  <si>
    <t>&lt;-Input</t>
  </si>
  <si>
    <t>Earned_Wage</t>
  </si>
  <si>
    <t>Earned Wage Days</t>
  </si>
  <si>
    <t>Earned_Wage_Days</t>
  </si>
  <si>
    <t>Days in Month</t>
  </si>
  <si>
    <t>Number of Days in Month</t>
  </si>
  <si>
    <t>&lt;-Available Earned Wage</t>
  </si>
  <si>
    <t>Earned_Wage_Available</t>
  </si>
  <si>
    <t>Earned_Wage_Cap</t>
  </si>
  <si>
    <t>Monthly cap on net pay</t>
  </si>
  <si>
    <t>Earned_Wage_Max_Cap</t>
  </si>
  <si>
    <t>&lt;-Available Earned Wage Max</t>
  </si>
  <si>
    <t>&lt;-Earned Wage</t>
  </si>
  <si>
    <t>Gross_Pay_Employer</t>
  </si>
  <si>
    <t>NightOut_Allowance_Employer</t>
  </si>
  <si>
    <t>Mortgage_Interest_Contribution_Employee</t>
  </si>
  <si>
    <t>Post-retirement_Medical Fund_Contribution_Employee</t>
  </si>
  <si>
    <t>Provident_Fund_Contribution_Employee</t>
  </si>
  <si>
    <t>Life_And_Health_Insurance_Contribution_Employee</t>
  </si>
  <si>
    <t>Other_Remuneration_Employer [Incl. Bonuses, Travel, Cellphone, Housing Allowance, Car Allowance, Housing Allownace]</t>
  </si>
  <si>
    <t>&lt;-Input Not Required [Mabye Consider for More Advanced Modelling]</t>
  </si>
  <si>
    <t>Amount/Threshold</t>
  </si>
  <si>
    <t xml:space="preserve">General </t>
  </si>
  <si>
    <t>Description</t>
  </si>
  <si>
    <t>Inputs</t>
  </si>
  <si>
    <t>Outputs</t>
  </si>
  <si>
    <t xml:space="preserve">This matrix outlines the key Statutory Acts &amp; Legal References for statutory PAYE tax limits, rates, levies and reliefts. 
</t>
  </si>
  <si>
    <t>Reference</t>
  </si>
  <si>
    <t>Limit</t>
  </si>
  <si>
    <t>Feature</t>
  </si>
  <si>
    <t>Earned Wage Access (EWA)</t>
  </si>
  <si>
    <t>Traditional Loan</t>
  </si>
  <si>
    <t>Source of funds</t>
  </si>
  <si>
    <r>
      <t xml:space="preserve">Employee’s </t>
    </r>
    <r>
      <rPr>
        <b/>
        <sz val="11"/>
        <color theme="1"/>
        <rFont val="Calibri"/>
        <family val="2"/>
        <scheme val="minor"/>
      </rPr>
      <t>already earned salary</t>
    </r>
    <r>
      <rPr>
        <sz val="11"/>
        <color theme="1"/>
        <rFont val="Calibri"/>
        <family val="2"/>
        <scheme val="minor"/>
      </rPr>
      <t xml:space="preserve"> (portion of wages due)</t>
    </r>
  </si>
  <si>
    <t>Legal classification</t>
  </si>
  <si>
    <t>Interest or finance charge</t>
  </si>
  <si>
    <t>Typically a small facilitation or service fee (not interest)</t>
  </si>
  <si>
    <t>Repayment source</t>
  </si>
  <si>
    <t>Automatically deducted from future salary payment</t>
  </si>
  <si>
    <t>Regulatory body</t>
  </si>
  <si>
    <t>Days_Worked</t>
  </si>
  <si>
    <t>NSSF_Employer</t>
  </si>
  <si>
    <t>NSSF_Employer_Rate</t>
  </si>
  <si>
    <t>LST_Bands</t>
  </si>
  <si>
    <t>Business Travel_Deductible_Cap</t>
  </si>
  <si>
    <t>Business_Travel_Allowance_Employer</t>
  </si>
  <si>
    <t>Life_Insurance_Cover_Employer</t>
  </si>
  <si>
    <t>Life_Insurance_Cover_Employer_Deductible</t>
  </si>
  <si>
    <t>NSSF_Employee</t>
  </si>
  <si>
    <t>No Monthly cap on deductible</t>
  </si>
  <si>
    <t>Employer 10%</t>
  </si>
  <si>
    <t>Medical_Cover_Deductible_Cap</t>
  </si>
  <si>
    <t>Housing levy</t>
  </si>
  <si>
    <t>Earned Wage Access (EWA) / salary advances</t>
  </si>
  <si>
    <t>N/A</t>
  </si>
  <si>
    <t>Third-party credit not yet earned</t>
  </si>
  <si>
    <t>None</t>
  </si>
  <si>
    <t>Permitted deductions (taxes, NSSF, agreed items, court orders, etc.)</t>
  </si>
  <si>
    <t>TZS / month</t>
  </si>
  <si>
    <t>Employee 10%</t>
  </si>
  <si>
    <t>SDL_Employer_Rate</t>
  </si>
  <si>
    <t>SDL_Employee_Rate</t>
  </si>
  <si>
    <t>Employer 3.5%</t>
  </si>
  <si>
    <t>Employee 0%</t>
  </si>
  <si>
    <t>Workers_Compensation_Fund_Tariff_Employer_Rate</t>
  </si>
  <si>
    <t>Workers_Compensation_Fund_Tariff_Employee_Rate</t>
  </si>
  <si>
    <t>Employer 0.6%</t>
  </si>
  <si>
    <t>Total_Taxable_Income</t>
  </si>
  <si>
    <t>SDL_Employer</t>
  </si>
  <si>
    <t>Workers_Compensation_Fund_Tariff_Employer</t>
  </si>
  <si>
    <t>Personal relief</t>
  </si>
  <si>
    <t>Medical reimbursements / employer medical insurance</t>
  </si>
  <si>
    <t>ITA (general employment-income rules)</t>
  </si>
  <si>
    <t>Business travel &amp; accommodation (in course of duty)</t>
  </si>
  <si>
    <t>TRA – PAYE guidance</t>
  </si>
  <si>
    <t>Housing benefit</t>
  </si>
  <si>
    <t>TRA – PAYE</t>
  </si>
  <si>
    <t>Company car benefit</t>
  </si>
  <si>
    <t>ITA schedules / TRA</t>
  </si>
  <si>
    <t>Subsidised/low-interest loan</t>
  </si>
  <si>
    <t>ITA</t>
  </si>
  <si>
    <t>Employer pays employee’s tax</t>
  </si>
  <si>
    <t>ITA s.27(d)</t>
  </si>
  <si>
    <t>Comprehensive Statutroy Acts &amp; Legal Frameworks Matrix (Tanzania)</t>
  </si>
  <si>
    <t>Typically excluded if it’s an actual reimbursement or employer policy paid for work purposes; otherwise taxable. (No statutory shilling cap stated in the Act; apply general benefit rules.)</t>
  </si>
  <si>
    <t>Taxable benefit = difference between statutory/market rate and actual rate; include in PAYE base. (No fixed TZS cap; apply ITA method.)</t>
  </si>
  <si>
    <t>The “tax benefit” is grossed-up at 330% of tax paid on behalf of the employee (special quantification rule).</t>
  </si>
  <si>
    <t xml:space="preserve">None. PAYE applies via resident bands (top rate 30%) and a flat 15% on employment income of non-residents (final tax). </t>
  </si>
  <si>
    <t xml:space="preserve">Excluded where incurred/likely to be incurred in performing duties (documented). </t>
  </si>
  <si>
    <t xml:space="preserve">Taxable annual value by engine size &amp; age (e.g., ≤1000cc: TZS 250k if &lt;5 yrs / 125k if &gt;5 yrs; &gt;3000cc: 1.5m / 750k). </t>
  </si>
  <si>
    <t>NSSF contributions</t>
  </si>
  <si>
    <t>Universal Health Insurance Act, 2023</t>
  </si>
  <si>
    <t>Skills Development Levy (SDL)</t>
  </si>
  <si>
    <t>Workers’ Compensation Fund (WCF)</t>
  </si>
  <si>
    <t>Public-sector fund</t>
  </si>
  <si>
    <t>Employment &amp; Labour Relations Act (ELRA), 2004</t>
  </si>
  <si>
    <t>Recovery of wage advances</t>
  </si>
  <si>
    <t>Employment (Protection of Wages) Regs., 1957</t>
  </si>
  <si>
    <t>The National Security Fund Act, 1997and National Social Security Fund (Amendment) Act, 2018 (NSSF NO. 50 of 2018)</t>
  </si>
  <si>
    <t>NSSF Cap 50</t>
  </si>
  <si>
    <t>NHIF</t>
  </si>
  <si>
    <t>National Health Insurance Fund (NHIF) Act of Tanzania (NHIF Act No. 8 of 1999) and  Universal Health Coverage (UHC) Bill in 2022</t>
  </si>
  <si>
    <t>NHIF Cap 8</t>
  </si>
  <si>
    <t>UHI Bill 2022</t>
  </si>
  <si>
    <t>Common payroll configuration: 3% employer + 3% employee of monthly salary (legacy NHIF for PUBLIC sector employees).</t>
  </si>
  <si>
    <t>Mandates health insurance and obligates formal-sector employers to contribute; implementation details and exact payroll mechanics are being operationalised.  Universal Health Coverage (UHC) Bill in 2022</t>
  </si>
  <si>
    <t>Not applicable in Tanzania (Kenya-specific.)</t>
  </si>
  <si>
    <t xml:space="preserve">Mainland: 3.5% of monthly gross emoluments (employers with ≥10 employees). Zanzibar: 4%. Employer-paid. </t>
  </si>
  <si>
    <t>Typical employer rate around 0.6% of cash wages.</t>
  </si>
  <si>
    <t>Finance Act, 2025</t>
  </si>
  <si>
    <t>Public Service Superannuation Scheme Act, 2012</t>
  </si>
  <si>
    <t xml:space="preserve">Public employees contribute under PSSSF; rates and rules differ from NSSF (outside private-sector scope here).
The Public Service Social Security Fund (PSSSF) in Tanzania has a total contribution rate of 20% of the employee's monthly basic salary. This total is split between the employer and the employee as follows: 
Employer Contribution: 15% of the employee's monthly salary
Employee Contribution: 5% of the employee's monthly salary, which is deducted from their pay 
These rates are based on the employee's basic salary, excluding bonuses, overtime pay, or allowances. The employer is responsible for remitting the total 20% contribution to the PSSSF by the last day of the following month. </t>
  </si>
  <si>
    <t>PSSSF Act 2012</t>
  </si>
  <si>
    <t>Total 20% of employee’s gross salary (private sector). Employer may: 10% + 10%, or 15% employer + 5% employee, or remit full 20%. Employee share must not exceed 10%.</t>
  </si>
  <si>
    <t>Deductions must be permitted by law/contract/consent; unlawful deductions are prohibited.</t>
  </si>
  <si>
    <t>If recovering an advance, each instalment must not exceed one-third of the employee’s wage for the pay period.</t>
  </si>
  <si>
    <t>Treat as advance on wages already earned/due with written employee consent and payslip disclosure (not a loan). Ensure compliance with the 1/3 per-instalment cap when recovering advances.</t>
  </si>
  <si>
    <t>Advance on wages under the ELRA Act</t>
  </si>
  <si>
    <t>Credit facility under the Bank of Tanzania Act, the Microfinance Act, 2018, or other banking laws.</t>
  </si>
  <si>
    <t>Interest-bearing under the Microfinance Act, 2018 or Banking and Financial Institutions Act, 2006.</t>
  </si>
  <si>
    <r>
      <t>Paid over time</t>
    </r>
    <r>
      <rPr>
        <sz val="11"/>
        <color theme="1"/>
        <rFont val="Calibri"/>
        <family val="2"/>
        <scheme val="minor"/>
      </rPr>
      <t xml:space="preserve"> from future income according to agreed loan repayment terms.</t>
    </r>
  </si>
  <si>
    <r>
      <t>Bank of Tanzania (BoT)</t>
    </r>
    <r>
      <rPr>
        <sz val="11"/>
        <color theme="1"/>
        <rFont val="Calibri"/>
        <family val="2"/>
        <scheme val="minor"/>
      </rPr>
      <t xml:space="preserve"> — under the National Payment Systems Act, 2015 for fintechs that process wage disbursements or payments.
Ministry of Labour, Youth, Employment and Persons with Disability — under the Employment and Labour Relations Act, 2004 for compliance with wage deduction and advance rules (particularly the 1/3 recovery cap per pay period).</t>
    </r>
  </si>
  <si>
    <t>Bank of Tanzania (BoT) — under the Banking and Financial Institutions Act, 2006 and the Microfinance Act, 2018 for loan, credit, or microfinance activities.</t>
  </si>
  <si>
    <t>UHI_NHIF_Employer_Rate</t>
  </si>
  <si>
    <t>UHI_NHIF_Employee_Rate</t>
  </si>
  <si>
    <t>Employer 3%</t>
  </si>
  <si>
    <t>Employee 3%</t>
  </si>
  <si>
    <t>UHI_NHIF_Employer</t>
  </si>
  <si>
    <t>UHI_NHIF_Employee</t>
  </si>
  <si>
    <t>Income Tax Act  (Cap 332, Laws of Tanzania)</t>
  </si>
  <si>
    <t xml:space="preserve">Taxable benefit = lower of (i) market rent or (ii) employer’s cost; less any employee contribution. </t>
  </si>
  <si>
    <t>Business_Travel_&amp;_Accommodation_Allowance_Employer</t>
  </si>
  <si>
    <t>Business_Travel_&amp;_Accomodation_Allowance_Deductible</t>
  </si>
  <si>
    <t>Housing_Allowance_Employer</t>
  </si>
  <si>
    <t>Housing_Allowance_Deductible</t>
  </si>
  <si>
    <t>Housing_Deductible_Cap</t>
  </si>
  <si>
    <t xml:space="preserve">Lower of (i) market rent or (ii) employer’s cost; less any employee contribution. </t>
  </si>
  <si>
    <t>Other_Remuneration_Employer [Incl. Bonuses, Travel, Cellphone, Car Allowance]</t>
  </si>
  <si>
    <t>Output</t>
  </si>
  <si>
    <t>PAYE</t>
  </si>
  <si>
    <t>Remittances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</si>
</sst>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12"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font>
    <font>
      <b/>
      <sz val="11"/>
      <color theme="0"/>
      <name val="Calibri"/>
      <family val="2"/>
      <scheme val="minor"/>
    </font>
    <font>
      <sz val="11"/>
      <color theme="0"/>
      <name val="Calibri"/>
      <family val="2"/>
      <scheme val="minor"/>
    </font>
    <font>
      <sz val="10"/>
      <color theme="0"/>
      <name val="Calibri"/>
      <family val="2"/>
      <scheme val="minor"/>
    </font>
    <font>
      <sz val="10"/>
      <color rgb="FF000000"/>
      <name val="Calibri"/>
      <family val="2"/>
      <scheme val="minor"/>
    </font>
    <font>
      <b/>
      <sz val="10"/>
      <color theme="1"/>
      <name val="Calibri"/>
      <family val="2"/>
      <scheme val="minor"/>
    </font>
    <font>
      <sz val="10"/>
      <color theme="1"/>
      <name val="Calibri"/>
      <family val="2"/>
      <scheme val="minor"/>
    </font>
  </fonts>
  <fills count="11">
    <fill>
      <patternFill patternType="none"/>
    </fill>
    <fill>
      <patternFill patternType="gray125"/>
    </fill>
    <fill>
      <patternFill patternType="solid">
        <fgColor rgb="FFE6F2FF"/>
      </patternFill>
    </fill>
    <fill>
      <patternFill patternType="solid">
        <fgColor rgb="FFFFFF00"/>
        <bgColor indexed="64"/>
      </patternFill>
    </fill>
    <fill>
      <patternFill patternType="solid">
        <fgColor theme="0" tint="-4.9989318521683403E-2"/>
        <bgColor indexed="64"/>
      </patternFill>
    </fill>
    <fill>
      <patternFill patternType="solid">
        <fgColor rgb="FF1CADE4"/>
        <bgColor indexed="64"/>
      </patternFill>
    </fill>
    <fill>
      <patternFill patternType="solid">
        <fgColor rgb="FFD1EFFA"/>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rgb="FF00B05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4">
    <xf numFmtId="0" fontId="0" fillId="0" borderId="0" xfId="0"/>
    <xf numFmtId="0" fontId="1" fillId="0" borderId="0" xfId="0" applyFont="1"/>
    <xf numFmtId="165" fontId="0" fillId="0" borderId="0" xfId="1" applyNumberFormat="1" applyFont="1"/>
    <xf numFmtId="43" fontId="0" fillId="0" borderId="1" xfId="1" applyFont="1" applyBorder="1"/>
    <xf numFmtId="165" fontId="0" fillId="0" borderId="0" xfId="0" applyNumberFormat="1"/>
    <xf numFmtId="43" fontId="0" fillId="0" borderId="0" xfId="0" applyNumberFormat="1"/>
    <xf numFmtId="9" fontId="0" fillId="0" borderId="0" xfId="0" applyNumberFormat="1"/>
    <xf numFmtId="0" fontId="1" fillId="3" borderId="0" xfId="0" applyFont="1" applyFill="1" applyAlignment="1">
      <alignment horizontal="left"/>
    </xf>
    <xf numFmtId="43" fontId="1" fillId="2" borderId="0" xfId="1" applyFont="1" applyFill="1" applyAlignment="1">
      <alignment horizontal="left"/>
    </xf>
    <xf numFmtId="0" fontId="8" fillId="5" borderId="0" xfId="0" applyFont="1" applyFill="1" applyAlignment="1">
      <alignment vertical="center"/>
    </xf>
    <xf numFmtId="37" fontId="9" fillId="6" borderId="0" xfId="1" applyNumberFormat="1" applyFont="1" applyFill="1" applyBorder="1" applyAlignment="1">
      <alignment vertical="center"/>
    </xf>
    <xf numFmtId="0" fontId="0" fillId="6" borderId="0" xfId="0" applyFill="1"/>
    <xf numFmtId="164" fontId="0" fillId="6" borderId="0" xfId="2" applyNumberFormat="1" applyFont="1" applyFill="1"/>
    <xf numFmtId="165" fontId="0" fillId="6" borderId="0" xfId="1" applyNumberFormat="1" applyFont="1" applyFill="1"/>
    <xf numFmtId="2" fontId="0" fillId="6" borderId="0" xfId="0" applyNumberFormat="1" applyFill="1"/>
    <xf numFmtId="9" fontId="0" fillId="6" borderId="0" xfId="2" applyFont="1" applyFill="1"/>
    <xf numFmtId="165" fontId="7" fillId="7" borderId="0" xfId="0" applyNumberFormat="1" applyFont="1" applyFill="1"/>
    <xf numFmtId="0" fontId="7" fillId="7" borderId="0" xfId="0" applyFont="1" applyFill="1"/>
    <xf numFmtId="0" fontId="5" fillId="8" borderId="0" xfId="0" applyFont="1" applyFill="1" applyAlignment="1">
      <alignment horizontal="left"/>
    </xf>
    <xf numFmtId="0" fontId="1" fillId="2" borderId="0" xfId="0" applyFont="1" applyFill="1" applyAlignment="1">
      <alignment horizontal="right"/>
    </xf>
    <xf numFmtId="0" fontId="0" fillId="0" borderId="0" xfId="0" applyAlignment="1">
      <alignment vertical="top" wrapText="1"/>
    </xf>
    <xf numFmtId="0" fontId="10" fillId="4" borderId="0" xfId="0" applyFont="1" applyFill="1" applyAlignment="1">
      <alignment horizontal="left" vertical="center"/>
    </xf>
    <xf numFmtId="0" fontId="0" fillId="0" borderId="0" xfId="0" applyAlignment="1">
      <alignment vertical="top"/>
    </xf>
    <xf numFmtId="0" fontId="0" fillId="0" borderId="0" xfId="0" applyAlignment="1">
      <alignment vertical="center" wrapText="1"/>
    </xf>
    <xf numFmtId="2" fontId="1" fillId="2" borderId="0" xfId="1" applyNumberFormat="1" applyFont="1" applyFill="1" applyAlignment="1">
      <alignment horizontal="right"/>
    </xf>
    <xf numFmtId="165" fontId="0" fillId="6" borderId="0" xfId="1" applyNumberFormat="1" applyFont="1" applyFill="1" applyAlignment="1">
      <alignment horizontal="right"/>
    </xf>
    <xf numFmtId="165" fontId="0" fillId="0" borderId="1" xfId="1" applyNumberFormat="1" applyFont="1" applyBorder="1"/>
    <xf numFmtId="165" fontId="4" fillId="4" borderId="1" xfId="1" applyNumberFormat="1" applyFont="1" applyFill="1" applyBorder="1"/>
    <xf numFmtId="165" fontId="3" fillId="4" borderId="1" xfId="1" applyNumberFormat="1" applyFont="1" applyFill="1" applyBorder="1"/>
    <xf numFmtId="165" fontId="3" fillId="10" borderId="1" xfId="1" applyNumberFormat="1" applyFont="1" applyFill="1" applyBorder="1"/>
    <xf numFmtId="165" fontId="3" fillId="9" borderId="1" xfId="1" applyNumberFormat="1" applyFont="1" applyFill="1" applyBorder="1"/>
    <xf numFmtId="165" fontId="6" fillId="7" borderId="1" xfId="1" applyNumberFormat="1" applyFont="1" applyFill="1" applyBorder="1"/>
    <xf numFmtId="0" fontId="11" fillId="4" borderId="0" xfId="0" applyFont="1" applyFill="1" applyAlignment="1">
      <alignment horizontal="left" vertical="center"/>
    </xf>
    <xf numFmtId="0" fontId="3" fillId="0" borderId="0" xfId="0" applyFont="1"/>
    <xf numFmtId="0" fontId="0" fillId="0" borderId="0" xfId="0" applyAlignment="1">
      <alignment wrapText="1"/>
    </xf>
    <xf numFmtId="0" fontId="8" fillId="5" borderId="3" xfId="0" applyFont="1" applyFill="1" applyBorder="1" applyAlignment="1">
      <alignment horizontal="left"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5" fillId="8" borderId="1" xfId="0" applyFont="1" applyFill="1" applyBorder="1" applyAlignment="1">
      <alignment horizontal="left"/>
    </xf>
    <xf numFmtId="165" fontId="6" fillId="7" borderId="1" xfId="0" applyNumberFormat="1" applyFont="1" applyFill="1" applyBorder="1"/>
  </cellXfs>
  <cellStyles count="3">
    <cellStyle name="Comma" xfId="1" builtinId="3"/>
    <cellStyle name="Normal" xfId="0" builtinId="0"/>
    <cellStyle name="Percent" xfId="2" builtinId="5"/>
  </cellStyles>
  <dxfs count="0"/>
  <tableStyles count="0" defaultTableStyle="TableStyleMedium9" defaultPivotStyle="PivotStyleLight16"/>
  <colors>
    <mruColors>
      <color rgb="FF1CAD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886C-59C2-4070-B428-D28C427B7CA4}">
  <dimension ref="A1:G41"/>
  <sheetViews>
    <sheetView topLeftCell="A3" zoomScale="82" workbookViewId="0">
      <selection activeCell="C9" sqref="C9"/>
    </sheetView>
  </sheetViews>
  <sheetFormatPr defaultRowHeight="14.4" x14ac:dyDescent="0.3"/>
  <cols>
    <col min="1" max="1" width="38.44140625" customWidth="1"/>
    <col min="2" max="2" width="75.5546875" customWidth="1"/>
    <col min="3" max="3" width="78.88671875" customWidth="1"/>
    <col min="4" max="7" width="28" customWidth="1"/>
  </cols>
  <sheetData>
    <row r="1" spans="1:7" x14ac:dyDescent="0.3">
      <c r="A1" s="9" t="s">
        <v>107</v>
      </c>
      <c r="B1" s="9"/>
      <c r="C1" s="9"/>
      <c r="D1" s="9"/>
      <c r="E1" s="9"/>
      <c r="F1" s="9"/>
      <c r="G1" s="9"/>
    </row>
    <row r="2" spans="1:7" x14ac:dyDescent="0.3">
      <c r="A2" s="36" t="s">
        <v>50</v>
      </c>
      <c r="B2" s="37"/>
      <c r="C2" s="37"/>
      <c r="D2" s="37"/>
      <c r="E2" s="37"/>
      <c r="F2" s="37"/>
      <c r="G2" s="38"/>
    </row>
    <row r="3" spans="1:7" x14ac:dyDescent="0.3">
      <c r="A3" s="39"/>
      <c r="B3" s="40"/>
      <c r="C3" s="40"/>
      <c r="D3" s="40"/>
      <c r="E3" s="40"/>
      <c r="F3" s="40"/>
      <c r="G3" s="41"/>
    </row>
    <row r="4" spans="1:7" x14ac:dyDescent="0.3">
      <c r="A4" s="35" t="s">
        <v>153</v>
      </c>
      <c r="B4" s="35"/>
      <c r="C4" s="35"/>
    </row>
    <row r="5" spans="1:7" x14ac:dyDescent="0.3">
      <c r="A5" s="21" t="s">
        <v>47</v>
      </c>
      <c r="B5" s="21" t="s">
        <v>51</v>
      </c>
      <c r="C5" s="32" t="s">
        <v>52</v>
      </c>
    </row>
    <row r="6" spans="1:7" ht="28.8" x14ac:dyDescent="0.3">
      <c r="A6" s="23" t="s">
        <v>94</v>
      </c>
      <c r="B6" s="23" t="s">
        <v>78</v>
      </c>
      <c r="C6" s="34" t="s">
        <v>111</v>
      </c>
    </row>
    <row r="7" spans="1:7" ht="28.8" x14ac:dyDescent="0.3">
      <c r="A7" s="23" t="s">
        <v>95</v>
      </c>
      <c r="B7" s="23" t="s">
        <v>96</v>
      </c>
      <c r="C7" s="34" t="s">
        <v>108</v>
      </c>
    </row>
    <row r="8" spans="1:7" ht="28.8" x14ac:dyDescent="0.3">
      <c r="A8" s="23" t="s">
        <v>97</v>
      </c>
      <c r="B8" s="23" t="s">
        <v>98</v>
      </c>
      <c r="C8" s="20" t="s">
        <v>112</v>
      </c>
    </row>
    <row r="9" spans="1:7" ht="28.8" x14ac:dyDescent="0.3">
      <c r="A9" s="23" t="s">
        <v>99</v>
      </c>
      <c r="B9" s="23" t="s">
        <v>100</v>
      </c>
      <c r="C9" s="34" t="s">
        <v>154</v>
      </c>
    </row>
    <row r="10" spans="1:7" ht="28.8" x14ac:dyDescent="0.3">
      <c r="A10" s="23" t="s">
        <v>101</v>
      </c>
      <c r="B10" s="23" t="s">
        <v>102</v>
      </c>
      <c r="C10" s="34" t="s">
        <v>113</v>
      </c>
    </row>
    <row r="11" spans="1:7" ht="28.8" x14ac:dyDescent="0.3">
      <c r="A11" s="23" t="s">
        <v>103</v>
      </c>
      <c r="B11" s="23" t="s">
        <v>104</v>
      </c>
      <c r="C11" s="34" t="s">
        <v>109</v>
      </c>
    </row>
    <row r="12" spans="1:7" ht="28.8" x14ac:dyDescent="0.3">
      <c r="A12" s="23" t="s">
        <v>105</v>
      </c>
      <c r="B12" s="23" t="s">
        <v>106</v>
      </c>
      <c r="C12" s="34" t="s">
        <v>110</v>
      </c>
    </row>
    <row r="13" spans="1:7" x14ac:dyDescent="0.3">
      <c r="A13" s="35" t="s">
        <v>122</v>
      </c>
      <c r="B13" s="35"/>
      <c r="C13" s="35"/>
    </row>
    <row r="14" spans="1:7" x14ac:dyDescent="0.3">
      <c r="A14" s="21" t="s">
        <v>47</v>
      </c>
      <c r="B14" s="21" t="s">
        <v>51</v>
      </c>
      <c r="C14" s="32" t="s">
        <v>52</v>
      </c>
    </row>
    <row r="15" spans="1:7" ht="28.8" x14ac:dyDescent="0.3">
      <c r="A15" s="20" t="s">
        <v>114</v>
      </c>
      <c r="B15" s="20" t="s">
        <v>123</v>
      </c>
      <c r="C15" s="20" t="s">
        <v>137</v>
      </c>
    </row>
    <row r="16" spans="1:7" x14ac:dyDescent="0.3">
      <c r="A16" s="35" t="s">
        <v>125</v>
      </c>
      <c r="B16" s="35"/>
      <c r="C16" s="35"/>
    </row>
    <row r="17" spans="1:3" x14ac:dyDescent="0.3">
      <c r="A17" s="21" t="s">
        <v>47</v>
      </c>
      <c r="B17" s="21" t="s">
        <v>51</v>
      </c>
      <c r="C17" s="32" t="s">
        <v>52</v>
      </c>
    </row>
    <row r="18" spans="1:3" ht="28.8" x14ac:dyDescent="0.3">
      <c r="A18" s="22" t="s">
        <v>124</v>
      </c>
      <c r="B18" s="20" t="s">
        <v>126</v>
      </c>
      <c r="C18" s="20" t="s">
        <v>128</v>
      </c>
    </row>
    <row r="19" spans="1:3" ht="43.2" x14ac:dyDescent="0.3">
      <c r="A19" s="22" t="s">
        <v>115</v>
      </c>
      <c r="B19" s="20" t="s">
        <v>127</v>
      </c>
      <c r="C19" s="20" t="s">
        <v>129</v>
      </c>
    </row>
    <row r="20" spans="1:3" x14ac:dyDescent="0.3">
      <c r="A20" s="35" t="s">
        <v>133</v>
      </c>
      <c r="B20" s="35"/>
      <c r="C20" s="35"/>
    </row>
    <row r="21" spans="1:3" x14ac:dyDescent="0.3">
      <c r="A21" s="21" t="s">
        <v>47</v>
      </c>
      <c r="B21" s="21" t="s">
        <v>51</v>
      </c>
      <c r="C21" s="32" t="s">
        <v>52</v>
      </c>
    </row>
    <row r="22" spans="1:3" ht="28.8" x14ac:dyDescent="0.3">
      <c r="A22" s="22" t="s">
        <v>116</v>
      </c>
      <c r="B22" s="20" t="s">
        <v>133</v>
      </c>
      <c r="C22" s="20" t="s">
        <v>131</v>
      </c>
    </row>
    <row r="23" spans="1:3" x14ac:dyDescent="0.3">
      <c r="A23" s="22" t="s">
        <v>117</v>
      </c>
      <c r="B23" s="20" t="s">
        <v>133</v>
      </c>
      <c r="C23" s="20" t="s">
        <v>132</v>
      </c>
    </row>
    <row r="24" spans="1:3" x14ac:dyDescent="0.3">
      <c r="A24" s="35" t="s">
        <v>80</v>
      </c>
      <c r="B24" s="35"/>
      <c r="C24" s="35"/>
    </row>
    <row r="25" spans="1:3" x14ac:dyDescent="0.3">
      <c r="A25" s="21" t="s">
        <v>47</v>
      </c>
      <c r="B25" s="21" t="s">
        <v>51</v>
      </c>
      <c r="C25" s="32" t="s">
        <v>52</v>
      </c>
    </row>
    <row r="26" spans="1:3" x14ac:dyDescent="0.3">
      <c r="A26" s="23" t="s">
        <v>76</v>
      </c>
      <c r="B26" s="23" t="s">
        <v>78</v>
      </c>
      <c r="C26" s="23" t="s">
        <v>130</v>
      </c>
    </row>
    <row r="27" spans="1:3" x14ac:dyDescent="0.3">
      <c r="A27" s="35" t="s">
        <v>134</v>
      </c>
      <c r="B27" s="35"/>
      <c r="C27" s="35"/>
    </row>
    <row r="28" spans="1:3" x14ac:dyDescent="0.3">
      <c r="A28" s="21" t="s">
        <v>47</v>
      </c>
      <c r="B28" s="21" t="s">
        <v>51</v>
      </c>
      <c r="C28" s="32" t="s">
        <v>52</v>
      </c>
    </row>
    <row r="29" spans="1:3" ht="172.8" x14ac:dyDescent="0.3">
      <c r="A29" s="22" t="s">
        <v>118</v>
      </c>
      <c r="B29" s="20" t="s">
        <v>136</v>
      </c>
      <c r="C29" s="20" t="s">
        <v>135</v>
      </c>
    </row>
    <row r="30" spans="1:3" x14ac:dyDescent="0.3">
      <c r="A30" s="35" t="s">
        <v>119</v>
      </c>
      <c r="B30" s="35"/>
      <c r="C30" s="35"/>
    </row>
    <row r="31" spans="1:3" x14ac:dyDescent="0.3">
      <c r="A31" s="21" t="s">
        <v>47</v>
      </c>
      <c r="B31" s="21" t="s">
        <v>51</v>
      </c>
      <c r="C31" s="32" t="s">
        <v>52</v>
      </c>
    </row>
    <row r="32" spans="1:3" ht="28.8" x14ac:dyDescent="0.3">
      <c r="A32" s="20" t="s">
        <v>81</v>
      </c>
      <c r="B32" s="20" t="s">
        <v>119</v>
      </c>
      <c r="C32" s="20" t="s">
        <v>138</v>
      </c>
    </row>
    <row r="33" spans="1:3" ht="28.8" x14ac:dyDescent="0.3">
      <c r="A33" s="20" t="s">
        <v>120</v>
      </c>
      <c r="B33" s="20" t="s">
        <v>121</v>
      </c>
      <c r="C33" s="20" t="s">
        <v>139</v>
      </c>
    </row>
    <row r="34" spans="1:3" ht="43.2" x14ac:dyDescent="0.3">
      <c r="A34" s="20" t="s">
        <v>77</v>
      </c>
      <c r="B34" s="20" t="s">
        <v>119</v>
      </c>
      <c r="C34" s="20" t="s">
        <v>140</v>
      </c>
    </row>
    <row r="35" spans="1:3" x14ac:dyDescent="0.3">
      <c r="A35" s="21" t="s">
        <v>53</v>
      </c>
      <c r="B35" s="21" t="s">
        <v>54</v>
      </c>
      <c r="C35" s="21" t="s">
        <v>55</v>
      </c>
    </row>
    <row r="36" spans="1:3" x14ac:dyDescent="0.3">
      <c r="A36" s="23" t="s">
        <v>56</v>
      </c>
      <c r="B36" s="23" t="s">
        <v>57</v>
      </c>
      <c r="C36" s="23" t="s">
        <v>79</v>
      </c>
    </row>
    <row r="37" spans="1:3" ht="28.8" x14ac:dyDescent="0.3">
      <c r="A37" s="23" t="s">
        <v>58</v>
      </c>
      <c r="B37" s="23" t="s">
        <v>141</v>
      </c>
      <c r="C37" s="23" t="s">
        <v>142</v>
      </c>
    </row>
    <row r="38" spans="1:3" ht="28.8" x14ac:dyDescent="0.3">
      <c r="A38" s="23" t="s">
        <v>59</v>
      </c>
      <c r="B38" s="23" t="s">
        <v>60</v>
      </c>
      <c r="C38" s="23" t="s">
        <v>143</v>
      </c>
    </row>
    <row r="39" spans="1:3" x14ac:dyDescent="0.3">
      <c r="A39" s="23" t="s">
        <v>61</v>
      </c>
      <c r="B39" s="23" t="s">
        <v>62</v>
      </c>
      <c r="C39" s="23" t="s">
        <v>144</v>
      </c>
    </row>
    <row r="40" spans="1:3" ht="72" x14ac:dyDescent="0.3">
      <c r="A40" s="23" t="s">
        <v>63</v>
      </c>
      <c r="B40" s="34" t="s">
        <v>145</v>
      </c>
      <c r="C40" s="20" t="s">
        <v>146</v>
      </c>
    </row>
    <row r="41" spans="1:3" x14ac:dyDescent="0.3">
      <c r="B41" s="33"/>
    </row>
  </sheetData>
  <mergeCells count="8">
    <mergeCell ref="A30:C30"/>
    <mergeCell ref="A2:G3"/>
    <mergeCell ref="A4:C4"/>
    <mergeCell ref="A13:C13"/>
    <mergeCell ref="A16:C16"/>
    <mergeCell ref="A24:C24"/>
    <mergeCell ref="A27:C27"/>
    <mergeCell ref="A20:C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workbookViewId="0">
      <pane ySplit="1" topLeftCell="A3" activePane="bottomLeft" state="frozen"/>
      <selection pane="bottomLeft" activeCell="A9" sqref="A9"/>
    </sheetView>
  </sheetViews>
  <sheetFormatPr defaultRowHeight="14.4" x14ac:dyDescent="0.3"/>
  <cols>
    <col min="1" max="1" width="44.6640625" customWidth="1"/>
    <col min="2" max="2" width="24" customWidth="1"/>
    <col min="3" max="3" width="46.44140625" bestFit="1" customWidth="1"/>
    <col min="4" max="4" width="12.33203125" customWidth="1"/>
    <col min="5" max="5" width="12.77734375" bestFit="1" customWidth="1"/>
    <col min="6" max="6" width="15" customWidth="1"/>
    <col min="7" max="7" width="11.33203125" bestFit="1" customWidth="1"/>
  </cols>
  <sheetData>
    <row r="1" spans="1:3" x14ac:dyDescent="0.3">
      <c r="A1" s="9" t="s">
        <v>46</v>
      </c>
      <c r="B1" s="9" t="s">
        <v>45</v>
      </c>
      <c r="C1" s="9" t="s">
        <v>47</v>
      </c>
    </row>
    <row r="2" spans="1:3" ht="18" customHeight="1" x14ac:dyDescent="0.3">
      <c r="A2" t="s">
        <v>0</v>
      </c>
      <c r="B2" s="10">
        <v>0</v>
      </c>
      <c r="C2" t="s">
        <v>82</v>
      </c>
    </row>
    <row r="3" spans="1:3" ht="18" customHeight="1" x14ac:dyDescent="0.3">
      <c r="A3" t="s">
        <v>1</v>
      </c>
      <c r="B3" s="11">
        <v>0</v>
      </c>
      <c r="C3" t="s">
        <v>82</v>
      </c>
    </row>
    <row r="4" spans="1:3" ht="18" customHeight="1" x14ac:dyDescent="0.3">
      <c r="A4" t="s">
        <v>2</v>
      </c>
      <c r="B4" s="13">
        <v>0</v>
      </c>
      <c r="C4" t="s">
        <v>14</v>
      </c>
    </row>
    <row r="5" spans="1:3" ht="18" customHeight="1" x14ac:dyDescent="0.3">
      <c r="A5" t="s">
        <v>159</v>
      </c>
      <c r="B5" s="13">
        <v>0</v>
      </c>
      <c r="C5" t="s">
        <v>160</v>
      </c>
    </row>
    <row r="6" spans="1:3" ht="18" customHeight="1" x14ac:dyDescent="0.3">
      <c r="A6" t="s">
        <v>68</v>
      </c>
      <c r="B6" s="25">
        <v>0</v>
      </c>
      <c r="C6" t="s">
        <v>73</v>
      </c>
    </row>
    <row r="7" spans="1:3" ht="18" customHeight="1" x14ac:dyDescent="0.3">
      <c r="A7" t="s">
        <v>15</v>
      </c>
      <c r="B7" s="13">
        <v>0</v>
      </c>
      <c r="C7" t="s">
        <v>16</v>
      </c>
    </row>
    <row r="8" spans="1:3" ht="18" customHeight="1" x14ac:dyDescent="0.3">
      <c r="A8" t="s">
        <v>75</v>
      </c>
      <c r="B8" s="13">
        <v>0</v>
      </c>
      <c r="C8" t="s">
        <v>73</v>
      </c>
    </row>
    <row r="9" spans="1:3" ht="18" customHeight="1" x14ac:dyDescent="0.3">
      <c r="A9" t="s">
        <v>22</v>
      </c>
      <c r="B9" s="25">
        <v>0</v>
      </c>
      <c r="C9" t="s">
        <v>14</v>
      </c>
    </row>
    <row r="10" spans="1:3" ht="18" customHeight="1" x14ac:dyDescent="0.3">
      <c r="A10" t="s">
        <v>66</v>
      </c>
      <c r="B10" s="12">
        <v>0.1</v>
      </c>
      <c r="C10" t="s">
        <v>74</v>
      </c>
    </row>
    <row r="11" spans="1:3" ht="18" customHeight="1" x14ac:dyDescent="0.3">
      <c r="A11" t="s">
        <v>3</v>
      </c>
      <c r="B11" s="12">
        <v>0.1</v>
      </c>
      <c r="C11" t="s">
        <v>83</v>
      </c>
    </row>
    <row r="12" spans="1:3" ht="18" customHeight="1" x14ac:dyDescent="0.3">
      <c r="A12" t="s">
        <v>84</v>
      </c>
      <c r="B12" s="12">
        <v>3.5000000000000003E-2</v>
      </c>
      <c r="C12" t="s">
        <v>86</v>
      </c>
    </row>
    <row r="13" spans="1:3" ht="18" customHeight="1" x14ac:dyDescent="0.3">
      <c r="A13" t="s">
        <v>85</v>
      </c>
      <c r="B13" s="12">
        <v>0</v>
      </c>
      <c r="C13" t="s">
        <v>87</v>
      </c>
    </row>
    <row r="14" spans="1:3" ht="18" customHeight="1" x14ac:dyDescent="0.3">
      <c r="A14" t="s">
        <v>88</v>
      </c>
      <c r="B14" s="12">
        <v>6.0000000000000001E-3</v>
      </c>
      <c r="C14" t="s">
        <v>90</v>
      </c>
    </row>
    <row r="15" spans="1:3" ht="18" customHeight="1" x14ac:dyDescent="0.3">
      <c r="A15" t="s">
        <v>89</v>
      </c>
      <c r="B15" s="12">
        <v>0</v>
      </c>
      <c r="C15" t="s">
        <v>87</v>
      </c>
    </row>
    <row r="16" spans="1:3" ht="18" customHeight="1" x14ac:dyDescent="0.3">
      <c r="A16" t="s">
        <v>147</v>
      </c>
      <c r="B16" s="12">
        <v>0.03</v>
      </c>
      <c r="C16" t="s">
        <v>149</v>
      </c>
    </row>
    <row r="17" spans="1:7" ht="18" customHeight="1" x14ac:dyDescent="0.3">
      <c r="A17" t="s">
        <v>148</v>
      </c>
      <c r="B17" s="12">
        <v>0.03</v>
      </c>
      <c r="C17" t="s">
        <v>150</v>
      </c>
    </row>
    <row r="18" spans="1:7" ht="18" customHeight="1" x14ac:dyDescent="0.3">
      <c r="A18" t="s">
        <v>27</v>
      </c>
      <c r="B18" s="14">
        <f>Inputs!B11</f>
        <v>30</v>
      </c>
      <c r="C18" t="s">
        <v>26</v>
      </c>
    </row>
    <row r="19" spans="1:7" ht="18" customHeight="1" x14ac:dyDescent="0.3">
      <c r="A19" t="s">
        <v>28</v>
      </c>
      <c r="B19" s="14">
        <f ca="1">_xlfn.DAYS(EOMONTH(TODAY(),0),(EOMONTH(TODAY(), - 1) + 0))</f>
        <v>30</v>
      </c>
      <c r="C19" t="s">
        <v>29</v>
      </c>
    </row>
    <row r="20" spans="1:7" ht="18" customHeight="1" x14ac:dyDescent="0.3">
      <c r="A20" t="s">
        <v>32</v>
      </c>
      <c r="B20" s="15">
        <v>0.3</v>
      </c>
      <c r="C20" t="s">
        <v>33</v>
      </c>
    </row>
    <row r="21" spans="1:7" ht="18" customHeight="1" x14ac:dyDescent="0.3">
      <c r="B21" s="6"/>
    </row>
    <row r="22" spans="1:7" ht="18" customHeight="1" x14ac:dyDescent="0.3">
      <c r="A22" s="9" t="s">
        <v>4</v>
      </c>
    </row>
    <row r="23" spans="1:7" ht="18" customHeight="1" x14ac:dyDescent="0.3">
      <c r="A23" s="1" t="s">
        <v>5</v>
      </c>
      <c r="B23" s="1" t="s">
        <v>6</v>
      </c>
      <c r="C23" s="1" t="s">
        <v>7</v>
      </c>
      <c r="D23" s="1" t="s">
        <v>23</v>
      </c>
    </row>
    <row r="24" spans="1:7" ht="18" customHeight="1" x14ac:dyDescent="0.3">
      <c r="A24" s="13">
        <v>0</v>
      </c>
      <c r="B24" s="13">
        <v>270000</v>
      </c>
      <c r="C24" s="15">
        <v>0</v>
      </c>
      <c r="D24" s="16">
        <f>B24*C24</f>
        <v>0</v>
      </c>
      <c r="E24" s="4"/>
    </row>
    <row r="25" spans="1:7" ht="18" customHeight="1" x14ac:dyDescent="0.3">
      <c r="A25" s="13">
        <v>270001</v>
      </c>
      <c r="B25" s="13">
        <v>520000</v>
      </c>
      <c r="C25" s="15">
        <v>0.08</v>
      </c>
      <c r="D25" s="16">
        <f>(B25-B24)*C25</f>
        <v>20000</v>
      </c>
      <c r="E25" s="4"/>
      <c r="F25" s="5"/>
    </row>
    <row r="26" spans="1:7" ht="18" customHeight="1" x14ac:dyDescent="0.3">
      <c r="A26" s="13">
        <v>520001</v>
      </c>
      <c r="B26" s="13">
        <v>760000</v>
      </c>
      <c r="C26" s="15">
        <v>0.2</v>
      </c>
      <c r="D26" s="16">
        <f>(B26-B25)*C26</f>
        <v>48000</v>
      </c>
      <c r="E26" s="4"/>
    </row>
    <row r="27" spans="1:7" ht="18" customHeight="1" x14ac:dyDescent="0.3">
      <c r="A27" s="13">
        <v>760001</v>
      </c>
      <c r="B27" s="13">
        <v>1000000</v>
      </c>
      <c r="C27" s="15">
        <v>0.25</v>
      </c>
      <c r="D27" s="16">
        <f>(B27-B26)*C27</f>
        <v>60000</v>
      </c>
      <c r="E27" s="4"/>
    </row>
    <row r="28" spans="1:7" ht="18" customHeight="1" x14ac:dyDescent="0.3">
      <c r="A28" s="13">
        <v>1000001</v>
      </c>
      <c r="B28" s="13"/>
      <c r="C28" s="15">
        <v>0.3</v>
      </c>
      <c r="D28" s="17"/>
      <c r="E28" s="5"/>
      <c r="F28" s="5"/>
      <c r="G28" s="5"/>
    </row>
    <row r="29" spans="1:7" ht="18" customHeight="1" x14ac:dyDescent="0.3">
      <c r="E29" s="4"/>
      <c r="F29" s="5"/>
      <c r="G29" s="5"/>
    </row>
    <row r="30" spans="1:7" ht="18" customHeight="1" x14ac:dyDescent="0.3">
      <c r="A30" s="9" t="s">
        <v>67</v>
      </c>
      <c r="E30" s="4"/>
    </row>
    <row r="31" spans="1:7" ht="18" customHeight="1" x14ac:dyDescent="0.3">
      <c r="A31" s="1" t="s">
        <v>5</v>
      </c>
      <c r="B31" s="1" t="s">
        <v>6</v>
      </c>
      <c r="C31" s="1" t="s">
        <v>23</v>
      </c>
    </row>
    <row r="32" spans="1:7" ht="18" customHeight="1" x14ac:dyDescent="0.3">
      <c r="A32" s="13">
        <v>0</v>
      </c>
      <c r="B32" s="13">
        <v>100000</v>
      </c>
      <c r="C32" s="13">
        <v>0</v>
      </c>
    </row>
    <row r="33" spans="1:3" ht="18" customHeight="1" x14ac:dyDescent="0.3">
      <c r="A33" s="13">
        <v>100001</v>
      </c>
      <c r="B33" s="13">
        <v>200000</v>
      </c>
      <c r="C33" s="13">
        <v>5000</v>
      </c>
    </row>
    <row r="34" spans="1:3" ht="18" customHeight="1" x14ac:dyDescent="0.3">
      <c r="A34" s="13">
        <v>200001</v>
      </c>
      <c r="B34" s="13">
        <v>300000</v>
      </c>
      <c r="C34" s="13">
        <v>10000</v>
      </c>
    </row>
    <row r="35" spans="1:3" ht="18" customHeight="1" x14ac:dyDescent="0.3">
      <c r="A35" s="13">
        <v>300001</v>
      </c>
      <c r="B35" s="13">
        <v>400000</v>
      </c>
      <c r="C35" s="13">
        <v>20000</v>
      </c>
    </row>
    <row r="36" spans="1:3" ht="18" customHeight="1" x14ac:dyDescent="0.3">
      <c r="A36" s="13">
        <v>400001</v>
      </c>
      <c r="B36" s="13">
        <v>500000</v>
      </c>
      <c r="C36" s="13">
        <v>30000</v>
      </c>
    </row>
    <row r="37" spans="1:3" ht="18" customHeight="1" x14ac:dyDescent="0.3">
      <c r="A37" s="13">
        <v>500001</v>
      </c>
      <c r="B37" s="13">
        <v>600000</v>
      </c>
      <c r="C37" s="13">
        <v>40000</v>
      </c>
    </row>
    <row r="38" spans="1:3" ht="18" customHeight="1" x14ac:dyDescent="0.3">
      <c r="A38" s="13">
        <v>600001</v>
      </c>
      <c r="B38" s="13">
        <v>700000</v>
      </c>
      <c r="C38" s="13">
        <v>60000</v>
      </c>
    </row>
    <row r="39" spans="1:3" ht="18" customHeight="1" x14ac:dyDescent="0.3">
      <c r="A39" s="13">
        <v>700001</v>
      </c>
      <c r="B39" s="13">
        <v>800000</v>
      </c>
      <c r="C39" s="13">
        <v>70000</v>
      </c>
    </row>
    <row r="40" spans="1:3" ht="18" customHeight="1" x14ac:dyDescent="0.3">
      <c r="A40" s="13">
        <v>800001</v>
      </c>
      <c r="B40" s="13">
        <v>900000</v>
      </c>
      <c r="C40" s="13">
        <v>80000</v>
      </c>
    </row>
    <row r="41" spans="1:3" ht="18" customHeight="1" x14ac:dyDescent="0.3">
      <c r="A41" s="13">
        <v>900001</v>
      </c>
      <c r="B41" s="13">
        <v>1000000</v>
      </c>
      <c r="C41" s="13">
        <v>90000</v>
      </c>
    </row>
    <row r="42" spans="1:3" ht="18" customHeight="1" x14ac:dyDescent="0.3">
      <c r="A42" s="13">
        <v>10000000</v>
      </c>
      <c r="B42" s="13"/>
      <c r="C42" s="13">
        <v>100000</v>
      </c>
    </row>
    <row r="43" spans="1:3" ht="18" customHeight="1" x14ac:dyDescent="0.3">
      <c r="A43" s="2"/>
      <c r="B43" s="2"/>
      <c r="C43" s="2"/>
    </row>
    <row r="44" spans="1:3" ht="18" customHeight="1" x14ac:dyDescent="0.3">
      <c r="A44" s="2"/>
      <c r="B44" s="2"/>
      <c r="C44" s="2"/>
    </row>
    <row r="45" spans="1:3" ht="18" customHeight="1" x14ac:dyDescent="0.3">
      <c r="A45" s="2"/>
      <c r="B45" s="2"/>
      <c r="C45" s="2"/>
    </row>
    <row r="46" spans="1:3" ht="18" customHeight="1" x14ac:dyDescent="0.3">
      <c r="A46" s="2"/>
      <c r="B46" s="2"/>
      <c r="C46" s="2"/>
    </row>
    <row r="47" spans="1:3" ht="18" customHeight="1" x14ac:dyDescent="0.3">
      <c r="A47" s="2"/>
      <c r="B47" s="2"/>
      <c r="C47"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pane ySplit="2" topLeftCell="A3" activePane="bottomLeft" state="frozen"/>
      <selection pane="bottomLeft" activeCell="A5" sqref="A5"/>
    </sheetView>
  </sheetViews>
  <sheetFormatPr defaultRowHeight="14.4" x14ac:dyDescent="0.3"/>
  <cols>
    <col min="1" max="1" width="46.21875" bestFit="1" customWidth="1"/>
    <col min="2" max="2" width="22" customWidth="1"/>
    <col min="3" max="3" width="58.88671875" bestFit="1" customWidth="1"/>
    <col min="4" max="9" width="22" customWidth="1"/>
    <col min="10" max="10" width="39" bestFit="1" customWidth="1"/>
    <col min="11" max="11" width="10.33203125" bestFit="1" customWidth="1"/>
    <col min="12" max="12" width="11.33203125" bestFit="1" customWidth="1"/>
  </cols>
  <sheetData>
    <row r="1" spans="1:3" x14ac:dyDescent="0.3">
      <c r="A1" s="9" t="s">
        <v>48</v>
      </c>
      <c r="B1" s="9"/>
      <c r="C1" s="9"/>
    </row>
    <row r="2" spans="1:3" x14ac:dyDescent="0.3">
      <c r="A2" s="18" t="s">
        <v>8</v>
      </c>
      <c r="B2" s="19" t="s">
        <v>9</v>
      </c>
      <c r="C2" t="s">
        <v>24</v>
      </c>
    </row>
    <row r="3" spans="1:3" x14ac:dyDescent="0.3">
      <c r="A3" s="18" t="s">
        <v>37</v>
      </c>
      <c r="B3" s="8">
        <v>2000000</v>
      </c>
      <c r="C3" t="s">
        <v>24</v>
      </c>
    </row>
    <row r="4" spans="1:3" x14ac:dyDescent="0.3">
      <c r="A4" s="18" t="s">
        <v>161</v>
      </c>
      <c r="B4" s="8"/>
      <c r="C4" t="s">
        <v>24</v>
      </c>
    </row>
    <row r="5" spans="1:3" x14ac:dyDescent="0.3">
      <c r="A5" s="18" t="s">
        <v>155</v>
      </c>
      <c r="B5" s="8"/>
      <c r="C5" t="s">
        <v>24</v>
      </c>
    </row>
    <row r="6" spans="1:3" x14ac:dyDescent="0.3">
      <c r="A6" s="18" t="s">
        <v>157</v>
      </c>
      <c r="B6" s="8"/>
      <c r="C6" t="s">
        <v>24</v>
      </c>
    </row>
    <row r="7" spans="1:3" hidden="1" x14ac:dyDescent="0.3">
      <c r="A7" s="18" t="s">
        <v>38</v>
      </c>
      <c r="B7" s="8"/>
      <c r="C7" t="s">
        <v>24</v>
      </c>
    </row>
    <row r="8" spans="1:3" hidden="1" x14ac:dyDescent="0.3">
      <c r="A8" s="18" t="s">
        <v>18</v>
      </c>
      <c r="B8" s="8"/>
      <c r="C8" t="s">
        <v>24</v>
      </c>
    </row>
    <row r="9" spans="1:3" x14ac:dyDescent="0.3">
      <c r="A9" s="18" t="s">
        <v>20</v>
      </c>
      <c r="B9" s="8"/>
      <c r="C9" t="s">
        <v>24</v>
      </c>
    </row>
    <row r="10" spans="1:3" hidden="1" x14ac:dyDescent="0.3">
      <c r="A10" s="18" t="s">
        <v>70</v>
      </c>
      <c r="B10" s="8"/>
      <c r="C10" t="s">
        <v>24</v>
      </c>
    </row>
    <row r="11" spans="1:3" x14ac:dyDescent="0.3">
      <c r="A11" s="18" t="s">
        <v>64</v>
      </c>
      <c r="B11" s="24">
        <v>30</v>
      </c>
      <c r="C11" t="s">
        <v>24</v>
      </c>
    </row>
    <row r="12" spans="1:3" x14ac:dyDescent="0.3">
      <c r="A12" s="18" t="s">
        <v>39</v>
      </c>
      <c r="B12" s="7"/>
      <c r="C12" t="s">
        <v>44</v>
      </c>
    </row>
    <row r="13" spans="1:3" x14ac:dyDescent="0.3">
      <c r="A13" s="18" t="s">
        <v>40</v>
      </c>
      <c r="B13" s="7"/>
      <c r="C13" t="s">
        <v>44</v>
      </c>
    </row>
    <row r="14" spans="1:3" x14ac:dyDescent="0.3">
      <c r="A14" s="18" t="s">
        <v>41</v>
      </c>
      <c r="B14" s="7"/>
      <c r="C14" t="s">
        <v>44</v>
      </c>
    </row>
    <row r="15" spans="1:3" x14ac:dyDescent="0.3">
      <c r="A15" s="18" t="s">
        <v>42</v>
      </c>
      <c r="B15" s="7"/>
      <c r="C15" t="s">
        <v>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2"/>
  <sheetViews>
    <sheetView workbookViewId="0">
      <pane ySplit="2" topLeftCell="A10" activePane="bottomLeft" state="frozen"/>
      <selection pane="bottomLeft" activeCell="A24" sqref="A20:A24"/>
    </sheetView>
  </sheetViews>
  <sheetFormatPr defaultRowHeight="14.4" x14ac:dyDescent="0.3"/>
  <cols>
    <col min="1" max="1" width="105.33203125" bestFit="1" customWidth="1"/>
    <col min="2" max="29" width="22" customWidth="1"/>
  </cols>
  <sheetData>
    <row r="1" spans="1:21" x14ac:dyDescent="0.3">
      <c r="A1" s="9" t="s">
        <v>49</v>
      </c>
      <c r="B1" s="9"/>
    </row>
    <row r="2" spans="1:21" x14ac:dyDescent="0.3">
      <c r="A2" s="18" t="s">
        <v>8</v>
      </c>
      <c r="B2" s="3" t="str">
        <f>Inputs!B2</f>
        <v>Sample Employee</v>
      </c>
      <c r="U2" s="5"/>
    </row>
    <row r="3" spans="1:21" x14ac:dyDescent="0.3">
      <c r="A3" s="18" t="s">
        <v>37</v>
      </c>
      <c r="B3" s="26">
        <f>Inputs!B3</f>
        <v>2000000</v>
      </c>
    </row>
    <row r="4" spans="1:21" x14ac:dyDescent="0.3">
      <c r="A4" s="18" t="s">
        <v>43</v>
      </c>
      <c r="B4" s="26">
        <f>Inputs!B4</f>
        <v>0</v>
      </c>
    </row>
    <row r="5" spans="1:21" x14ac:dyDescent="0.3">
      <c r="A5" s="18" t="s">
        <v>69</v>
      </c>
      <c r="B5" s="26">
        <f>Inputs!B5</f>
        <v>0</v>
      </c>
    </row>
    <row r="6" spans="1:21" x14ac:dyDescent="0.3">
      <c r="A6" s="18" t="s">
        <v>157</v>
      </c>
      <c r="B6" s="26">
        <f>Inputs!B6</f>
        <v>0</v>
      </c>
    </row>
    <row r="7" spans="1:21" x14ac:dyDescent="0.3">
      <c r="A7" s="18" t="s">
        <v>38</v>
      </c>
      <c r="B7" s="26">
        <f>Inputs!B7</f>
        <v>0</v>
      </c>
    </row>
    <row r="8" spans="1:21" x14ac:dyDescent="0.3">
      <c r="A8" s="18" t="s">
        <v>18</v>
      </c>
      <c r="B8" s="26">
        <f>Inputs!B8</f>
        <v>0</v>
      </c>
    </row>
    <row r="9" spans="1:21" x14ac:dyDescent="0.3">
      <c r="A9" s="18" t="s">
        <v>20</v>
      </c>
      <c r="B9" s="26">
        <f>Inputs!B9</f>
        <v>0</v>
      </c>
    </row>
    <row r="10" spans="1:21" x14ac:dyDescent="0.3">
      <c r="A10" s="18" t="s">
        <v>70</v>
      </c>
      <c r="B10" s="26">
        <f>Inputs!B10</f>
        <v>0</v>
      </c>
    </row>
    <row r="11" spans="1:21" x14ac:dyDescent="0.3">
      <c r="A11" s="18" t="s">
        <v>10</v>
      </c>
      <c r="B11" s="27">
        <f>SUM(B3:B10)</f>
        <v>2000000</v>
      </c>
    </row>
    <row r="12" spans="1:21" x14ac:dyDescent="0.3">
      <c r="A12" s="18" t="s">
        <v>156</v>
      </c>
      <c r="B12" s="26">
        <f>-MAX(B5,Rates!B6)</f>
        <v>0</v>
      </c>
    </row>
    <row r="13" spans="1:21" x14ac:dyDescent="0.3">
      <c r="A13" s="18" t="s">
        <v>158</v>
      </c>
      <c r="B13" s="26">
        <f>-MAX(B6,Rates!B5)</f>
        <v>0</v>
      </c>
    </row>
    <row r="14" spans="1:21" x14ac:dyDescent="0.3">
      <c r="A14" s="18" t="s">
        <v>17</v>
      </c>
      <c r="B14" s="26">
        <f>-MIN(B7,Rates!$B$7)</f>
        <v>0</v>
      </c>
    </row>
    <row r="15" spans="1:21" x14ac:dyDescent="0.3">
      <c r="A15" s="18" t="s">
        <v>19</v>
      </c>
      <c r="B15" s="26">
        <f>-MIN(B8,Rates!$B$4)</f>
        <v>0</v>
      </c>
    </row>
    <row r="16" spans="1:21" x14ac:dyDescent="0.3">
      <c r="A16" s="18" t="s">
        <v>21</v>
      </c>
      <c r="B16" s="26">
        <f>-B9</f>
        <v>0</v>
      </c>
    </row>
    <row r="17" spans="1:3" x14ac:dyDescent="0.3">
      <c r="A17" s="18" t="s">
        <v>71</v>
      </c>
      <c r="B17" s="26">
        <f>-MIN(B10,Rates!B9)</f>
        <v>0</v>
      </c>
    </row>
    <row r="18" spans="1:3" x14ac:dyDescent="0.3">
      <c r="A18" s="18" t="s">
        <v>72</v>
      </c>
      <c r="B18" s="26">
        <f>-Rates!B11*B11</f>
        <v>-200000</v>
      </c>
      <c r="C18" s="5"/>
    </row>
    <row r="19" spans="1:3" x14ac:dyDescent="0.3">
      <c r="A19" s="18" t="s">
        <v>91</v>
      </c>
      <c r="B19" s="27">
        <f>SUM(B11:B18)</f>
        <v>1800000</v>
      </c>
      <c r="C19" s="5"/>
    </row>
    <row r="20" spans="1:3" x14ac:dyDescent="0.3">
      <c r="A20" s="18" t="s">
        <v>65</v>
      </c>
      <c r="B20" s="26">
        <f>-Rates!B10*B11</f>
        <v>-200000</v>
      </c>
      <c r="C20" s="5"/>
    </row>
    <row r="21" spans="1:3" x14ac:dyDescent="0.3">
      <c r="A21" s="18" t="s">
        <v>92</v>
      </c>
      <c r="B21" s="26">
        <f>-Rates!B12*B11</f>
        <v>-70000</v>
      </c>
      <c r="C21" s="5"/>
    </row>
    <row r="22" spans="1:3" x14ac:dyDescent="0.3">
      <c r="A22" s="18" t="s">
        <v>93</v>
      </c>
      <c r="B22" s="26">
        <f>-Rates!B14*B11</f>
        <v>-12000</v>
      </c>
      <c r="C22" s="5"/>
    </row>
    <row r="23" spans="1:3" x14ac:dyDescent="0.3">
      <c r="A23" s="18" t="s">
        <v>151</v>
      </c>
      <c r="B23" s="26">
        <f>-B11*Rates!B16</f>
        <v>-60000</v>
      </c>
      <c r="C23" s="5"/>
    </row>
    <row r="24" spans="1:3" x14ac:dyDescent="0.3">
      <c r="A24" s="18" t="s">
        <v>152</v>
      </c>
      <c r="B24" s="26">
        <f>-B11*Rates!B17</f>
        <v>-60000</v>
      </c>
      <c r="C24" s="5"/>
    </row>
    <row r="25" spans="1:3" x14ac:dyDescent="0.3">
      <c r="A25" s="18" t="s">
        <v>11</v>
      </c>
      <c r="B25" s="26">
        <f>IF(B19&gt;Rates!B24,Rates!D24,0)+IF(B19&gt;Rates!B25,Rates!D25,0)+IF(B19&gt;Rates!B26,Rates!D26,0)+IF(B19&gt;Rates!B27,Rates!D27,0)+IF(B19&gt;Rates!B27,(B19-Rates!B27)*Rates!C28,0)+IF(B19&lt;Rates!B24,B19*Rates!C24)+IF(AND(B19&gt;=Rates!A25,B19&lt;Rates!B25),(B19-Rates!A25)*Rates!C25,0)+IF(AND(B19&gt;=Rates!A26,B19&lt;Rates!B26),(B19-Rates!A26)*Rates!C26,0)+IF(AND(B19&gt;=Rates!A27,B19&lt;Rates!B27),(B19-Rates!A27)*Rates!C27,0)</f>
        <v>368000</v>
      </c>
    </row>
    <row r="26" spans="1:3" x14ac:dyDescent="0.3">
      <c r="A26" s="18" t="s">
        <v>0</v>
      </c>
      <c r="B26" s="26">
        <f>Rates!B2</f>
        <v>0</v>
      </c>
    </row>
    <row r="27" spans="1:3" x14ac:dyDescent="0.3">
      <c r="A27" s="18" t="s">
        <v>1</v>
      </c>
      <c r="B27" s="26">
        <f>Rates!B3</f>
        <v>0</v>
      </c>
    </row>
    <row r="28" spans="1:3" x14ac:dyDescent="0.3">
      <c r="A28" s="18" t="s">
        <v>12</v>
      </c>
      <c r="B28" s="27">
        <f>MAX(B25-B26-B27,0)</f>
        <v>368000</v>
      </c>
      <c r="C28" s="5"/>
    </row>
    <row r="29" spans="1:3" x14ac:dyDescent="0.3">
      <c r="A29" s="18" t="s">
        <v>13</v>
      </c>
      <c r="B29" s="28">
        <f>B19-B28</f>
        <v>1432000</v>
      </c>
    </row>
    <row r="30" spans="1:3" x14ac:dyDescent="0.3">
      <c r="A30" s="18" t="s">
        <v>25</v>
      </c>
      <c r="B30" s="29">
        <f ca="1">ROUND(B29*Inputs!B11/Rates!B19,0)</f>
        <v>1432000</v>
      </c>
      <c r="C30" t="s">
        <v>36</v>
      </c>
    </row>
    <row r="31" spans="1:3" x14ac:dyDescent="0.3">
      <c r="A31" s="18" t="s">
        <v>34</v>
      </c>
      <c r="B31" s="30">
        <f>ROUND(IFERROR(B29*Rates!B20,0),0)</f>
        <v>429600</v>
      </c>
      <c r="C31" t="s">
        <v>35</v>
      </c>
    </row>
    <row r="32" spans="1:3" x14ac:dyDescent="0.3">
      <c r="A32" s="18" t="s">
        <v>31</v>
      </c>
      <c r="B32" s="31">
        <f ca="1">IFERROR(MIN(B30:B31),0)</f>
        <v>429600</v>
      </c>
      <c r="C32" t="s">
        <v>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50057-9F53-47FD-A4AE-283C6A0DAEF1}">
  <dimension ref="A1:B12"/>
  <sheetViews>
    <sheetView tabSelected="1" workbookViewId="0">
      <selection activeCell="D10" sqref="D10"/>
    </sheetView>
  </sheetViews>
  <sheetFormatPr defaultRowHeight="14.4" x14ac:dyDescent="0.3"/>
  <cols>
    <col min="1" max="1" width="21.33203125" bestFit="1" customWidth="1"/>
    <col min="2" max="2" width="10.44140625" bestFit="1" customWidth="1"/>
  </cols>
  <sheetData>
    <row r="1" spans="1:2" x14ac:dyDescent="0.3">
      <c r="A1" s="9" t="s">
        <v>162</v>
      </c>
      <c r="B1" s="9"/>
    </row>
    <row r="2" spans="1:2" x14ac:dyDescent="0.3">
      <c r="A2" s="42" t="s">
        <v>25</v>
      </c>
      <c r="B2" s="29">
        <f ca="1">Workings!B30</f>
        <v>1432000</v>
      </c>
    </row>
    <row r="3" spans="1:2" x14ac:dyDescent="0.3">
      <c r="A3" s="42" t="s">
        <v>34</v>
      </c>
      <c r="B3" s="30">
        <f>Workings!B31</f>
        <v>429600</v>
      </c>
    </row>
    <row r="4" spans="1:2" x14ac:dyDescent="0.3">
      <c r="A4" s="42" t="s">
        <v>31</v>
      </c>
      <c r="B4" s="29">
        <f ca="1">Workings!B32</f>
        <v>429600</v>
      </c>
    </row>
    <row r="5" spans="1:2" x14ac:dyDescent="0.3">
      <c r="A5" s="9" t="s">
        <v>164</v>
      </c>
      <c r="B5" s="9"/>
    </row>
    <row r="6" spans="1:2" x14ac:dyDescent="0.3">
      <c r="A6" s="42" t="s">
        <v>72</v>
      </c>
      <c r="B6" s="43">
        <f>-Workings!B18</f>
        <v>200000</v>
      </c>
    </row>
    <row r="7" spans="1:2" x14ac:dyDescent="0.3">
      <c r="A7" s="42" t="s">
        <v>65</v>
      </c>
      <c r="B7" s="43">
        <f>-Workings!B20</f>
        <v>200000</v>
      </c>
    </row>
    <row r="8" spans="1:2" x14ac:dyDescent="0.3">
      <c r="A8" s="42" t="s">
        <v>92</v>
      </c>
      <c r="B8" s="43">
        <f>-Workings!B21</f>
        <v>70000</v>
      </c>
    </row>
    <row r="9" spans="1:2" x14ac:dyDescent="0.3">
      <c r="A9" s="42" t="s">
        <v>93</v>
      </c>
      <c r="B9" s="43">
        <f>-Workings!B22</f>
        <v>12000</v>
      </c>
    </row>
    <row r="10" spans="1:2" x14ac:dyDescent="0.3">
      <c r="A10" s="42" t="s">
        <v>151</v>
      </c>
      <c r="B10" s="43">
        <f>-Workings!B23</f>
        <v>60000</v>
      </c>
    </row>
    <row r="11" spans="1:2" x14ac:dyDescent="0.3">
      <c r="A11" s="42" t="s">
        <v>152</v>
      </c>
      <c r="B11" s="43">
        <f>-Workings!B24</f>
        <v>60000</v>
      </c>
    </row>
    <row r="12" spans="1:2" x14ac:dyDescent="0.3">
      <c r="A12" s="42" t="s">
        <v>163</v>
      </c>
      <c r="B12" s="43">
        <f>Workings!B25</f>
        <v>368000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Rates</vt:lpstr>
      <vt:lpstr>Inputs</vt:lpstr>
      <vt:lpstr>Workings</vt:lpstr>
      <vt:lpstr>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Crawford</cp:lastModifiedBy>
  <dcterms:created xsi:type="dcterms:W3CDTF">2025-10-07T11:20:53Z</dcterms:created>
  <dcterms:modified xsi:type="dcterms:W3CDTF">2025-11-03T06:13:30Z</dcterms:modified>
</cp:coreProperties>
</file>