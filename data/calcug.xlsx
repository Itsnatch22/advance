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sonCrawford\Downloads\"/>
    </mc:Choice>
  </mc:AlternateContent>
  <xr:revisionPtr revIDLastSave="0" documentId="13_ncr:1_{4810648C-9DDC-4D80-8842-E8C4872413F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otes" sheetId="5" r:id="rId1"/>
    <sheet name="Rates" sheetId="1" r:id="rId2"/>
    <sheet name="Inputs" sheetId="2" r:id="rId3"/>
    <sheet name="Workings" sheetId="3" r:id="rId4"/>
    <sheet name="Outpu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9" i="6" l="1"/>
  <c r="B7" i="6"/>
  <c r="B6" i="6"/>
  <c r="B3" i="6" l="1"/>
  <c r="B15" i="3"/>
  <c r="B24" i="3"/>
  <c r="B10" i="3"/>
  <c r="B17" i="3" s="1"/>
  <c r="B5" i="3"/>
  <c r="B12" i="3" s="1"/>
  <c r="B13" i="1" l="1"/>
  <c r="B12" i="1"/>
  <c r="B23" i="3"/>
  <c r="B4" i="3"/>
  <c r="B6" i="3"/>
  <c r="B13" i="3" s="1"/>
  <c r="B7" i="3"/>
  <c r="B14" i="3" s="1"/>
  <c r="B8" i="3"/>
  <c r="B9" i="3"/>
  <c r="B16" i="3" s="1"/>
  <c r="B3" i="3"/>
  <c r="B11" i="3" s="1"/>
  <c r="B2" i="3"/>
  <c r="D21" i="1"/>
  <c r="D20" i="1"/>
  <c r="D19" i="1"/>
  <c r="D18" i="1"/>
  <c r="B18" i="3" l="1"/>
  <c r="B19" i="3" s="1"/>
  <c r="B22" i="3" l="1"/>
  <c r="B20" i="3"/>
  <c r="B21" i="3"/>
  <c r="B25" i="3" l="1"/>
  <c r="B26" i="3" s="1"/>
  <c r="B28" i="3" l="1"/>
  <c r="B27" i="3"/>
  <c r="B2" i="6" l="1"/>
  <c r="B29" i="3"/>
  <c r="B4" i="6" l="1"/>
</calcChain>
</file>

<file path=xl/sharedStrings.xml><?xml version="1.0" encoding="utf-8"?>
<sst xmlns="http://schemas.openxmlformats.org/spreadsheetml/2006/main" count="198" uniqueCount="143">
  <si>
    <t>Personal_Relief</t>
  </si>
  <si>
    <t>Insurance_Relief</t>
  </si>
  <si>
    <t>Pension_Deductible_Cap</t>
  </si>
  <si>
    <t>NSSF_Employee_Rate</t>
  </si>
  <si>
    <t>PAYE_Tax_Bands</t>
  </si>
  <si>
    <t>Lower</t>
  </si>
  <si>
    <t>Upper</t>
  </si>
  <si>
    <t>Rate</t>
  </si>
  <si>
    <t>Employee</t>
  </si>
  <si>
    <t>Sample Employee</t>
  </si>
  <si>
    <t>Total_Income</t>
  </si>
  <si>
    <t>PAYE_Before_Relief</t>
  </si>
  <si>
    <t>PAYE_After_Relief</t>
  </si>
  <si>
    <t>Net_Pay</t>
  </si>
  <si>
    <t>Meals_Deductible_Cap</t>
  </si>
  <si>
    <t>Monthly cap on deductible</t>
  </si>
  <si>
    <t>Night-Out_Deductible_Cap</t>
  </si>
  <si>
    <t>Daily cap on deductible</t>
  </si>
  <si>
    <t>NightOut_Allowance_Deductible</t>
  </si>
  <si>
    <t>Meal_Allowance_Deductible</t>
  </si>
  <si>
    <t>Pension_Cover_Employer</t>
  </si>
  <si>
    <t>Pension_Cover_Deductible</t>
  </si>
  <si>
    <t>Medical_Cover_Employer</t>
  </si>
  <si>
    <t>Medical_Cover_Employer_Deductible</t>
  </si>
  <si>
    <t>Life_And_Health_Insurance_Deductible_Limit</t>
  </si>
  <si>
    <t>Tax</t>
  </si>
  <si>
    <t>&lt;-Input</t>
  </si>
  <si>
    <t>Earned_Wage</t>
  </si>
  <si>
    <t>Earned Wage Days</t>
  </si>
  <si>
    <t>Earned_Wage_Days</t>
  </si>
  <si>
    <t>Days in Month</t>
  </si>
  <si>
    <t>Number of Days in Month</t>
  </si>
  <si>
    <t>&lt;-Available Earned Wage</t>
  </si>
  <si>
    <t>Earned_Wage_Available</t>
  </si>
  <si>
    <t>Earned_Wage_Cap</t>
  </si>
  <si>
    <t>Monthly cap on net pay</t>
  </si>
  <si>
    <t>Earned_Wage_Max_Cap</t>
  </si>
  <si>
    <t>&lt;-Available Earned Wage Max</t>
  </si>
  <si>
    <t>&lt;-Earned Wage</t>
  </si>
  <si>
    <t>Gross_Pay_Employer</t>
  </si>
  <si>
    <t>Meal_Allowance_Employer</t>
  </si>
  <si>
    <t>NightOut_Allowance_Employer</t>
  </si>
  <si>
    <t>Mortgage_Interest_Contribution_Employee</t>
  </si>
  <si>
    <t>Post-retirement_Medical Fund_Contribution_Employee</t>
  </si>
  <si>
    <t>Provident_Fund_Contribution_Employee</t>
  </si>
  <si>
    <t>Life_And_Health_Insurance_Contribution_Employee</t>
  </si>
  <si>
    <t>Other_Remuneration_Employer [Incl. Bonuses, Travel, Cellphone, Housing Allowance, Car Allowance, Housing Allownace]</t>
  </si>
  <si>
    <t>&lt;-Input Not Required [Mabye Consider for More Advanced Modelling]</t>
  </si>
  <si>
    <t>Amount/Threshold</t>
  </si>
  <si>
    <t xml:space="preserve">General </t>
  </si>
  <si>
    <t>Description</t>
  </si>
  <si>
    <t>Inputs</t>
  </si>
  <si>
    <t>Outputs</t>
  </si>
  <si>
    <t xml:space="preserve">This matrix outlines the key Statutory Acts &amp; Legal References for statutory PAYE tax limits, rates, levies and reliefts. 
</t>
  </si>
  <si>
    <t>Personal Relief</t>
  </si>
  <si>
    <t>Insurance Relief</t>
  </si>
  <si>
    <t>Reference</t>
  </si>
  <si>
    <t>Limit</t>
  </si>
  <si>
    <t>Employee 6%</t>
  </si>
  <si>
    <t>Feature</t>
  </si>
  <si>
    <t>Earned Wage Access (EWA)</t>
  </si>
  <si>
    <t>Traditional Loan</t>
  </si>
  <si>
    <t>Source of funds</t>
  </si>
  <si>
    <r>
      <t xml:space="preserve">Employee’s </t>
    </r>
    <r>
      <rPr>
        <b/>
        <sz val="11"/>
        <color theme="1"/>
        <rFont val="Calibri"/>
        <family val="2"/>
        <scheme val="minor"/>
      </rPr>
      <t>already earned salary</t>
    </r>
    <r>
      <rPr>
        <sz val="11"/>
        <color theme="1"/>
        <rFont val="Calibri"/>
        <family val="2"/>
        <scheme val="minor"/>
      </rPr>
      <t xml:space="preserve"> (portion of wages due)</t>
    </r>
  </si>
  <si>
    <t>Legal classification</t>
  </si>
  <si>
    <t>Advance on wages under the Employment Act</t>
  </si>
  <si>
    <t>Interest or finance charge</t>
  </si>
  <si>
    <t>Typically a small facilitation or service fee (not interest)</t>
  </si>
  <si>
    <t>Repayment source</t>
  </si>
  <si>
    <t>Automatically deducted from future salary payment</t>
  </si>
  <si>
    <t>Paid over time from future income</t>
  </si>
  <si>
    <t>Regulatory body</t>
  </si>
  <si>
    <t>Other_Remuneration_Employer [Incl. Bonuses, Travel, Cellphone, Housing Allowance, Car Allowance]</t>
  </si>
  <si>
    <t>Days_Worked</t>
  </si>
  <si>
    <t>NSSF_Employer</t>
  </si>
  <si>
    <t>NSSF_Employer_Rate</t>
  </si>
  <si>
    <t>LST_Bands</t>
  </si>
  <si>
    <t>UGX / month</t>
  </si>
  <si>
    <t>Business Travel_Deductible_Cap</t>
  </si>
  <si>
    <t>Business_Travel_Allowance_Employer</t>
  </si>
  <si>
    <t>Business_Travel_Allowance_Deductible</t>
  </si>
  <si>
    <t>Life_Insurance_Cover_Employer</t>
  </si>
  <si>
    <t>Life_Insurance_Cover_Employer_Deductible</t>
  </si>
  <si>
    <t>NSSF_Employee</t>
  </si>
  <si>
    <t>No Monthly cap on deductible</t>
  </si>
  <si>
    <t>Employer 10%</t>
  </si>
  <si>
    <t>Medical_Cover_Deductible_Cap</t>
  </si>
  <si>
    <t>LST_Deductible</t>
  </si>
  <si>
    <t>ITA s.19(2)(b)</t>
  </si>
  <si>
    <t>Small de-minimis benefits</t>
  </si>
  <si>
    <t>Practice notes / summaries</t>
  </si>
  <si>
    <t>Meals/refreshments provided on equal terms to all staff, on employer premises</t>
  </si>
  <si>
    <t>National Health Insurance levy</t>
  </si>
  <si>
    <t>Housing levy</t>
  </si>
  <si>
    <t>Employer contributions to resident retirement fund for employee</t>
  </si>
  <si>
    <t>ITA s.19(2)</t>
  </si>
  <si>
    <t>Employment Act s.46</t>
  </si>
  <si>
    <t>Attachment/overall cap</t>
  </si>
  <si>
    <t>Employment Act s.46(3)</t>
  </si>
  <si>
    <t>Earned Wage Access (EWA) / salary advances</t>
  </si>
  <si>
    <t>Employment Act framework on deductions &amp; advances</t>
  </si>
  <si>
    <t>Comprehensive Statutroy Acts &amp; Legal Frameworks Matrix (Uganda)</t>
  </si>
  <si>
    <t>Income Tax Act  (Cap 340, Laws of Uganda)</t>
  </si>
  <si>
    <t>None. Uganda does not grant a universal personal relief/credit. PAYE is computed using bands with a tax-free monthly threshold of UGX 235,000 (UGX 2,820,000 p.a.)</t>
  </si>
  <si>
    <t>N/A</t>
  </si>
  <si>
    <t xml:space="preserve">None. Uganda does not grant a universal personal relief/credit. </t>
  </si>
  <si>
    <t>Third-party credit not yet earned</t>
  </si>
  <si>
    <t>Not applicable in Uganda. (Kenya-specific.)</t>
  </si>
  <si>
    <t>Medical reimbursements (including employer-paid medical insurance)</t>
  </si>
  <si>
    <t>ITA s.19(2)(b); definition of “medical expenses” in s.19</t>
  </si>
  <si>
    <t>Business travel &amp; accommodation reimbursement/allowance (in course of duty)</t>
  </si>
  <si>
    <t>Employer contributions to a retirement fund (resident retirement fund)</t>
  </si>
  <si>
    <t>ITA s.19(2) (exempt items)</t>
  </si>
  <si>
    <t>ITA s.19(2); also deductibility note</t>
  </si>
  <si>
    <t>Housing / company car / low-interest loans (valuation rules)</t>
  </si>
  <si>
    <t>Schedules &amp; guidance under ITA s.19</t>
  </si>
  <si>
    <t xml:space="preserve">Excluded from employment income when the employer reimburses/pays medical expenses. “Medical expenses” includes medical insurance premiums. No statutory shilling cap stated. </t>
  </si>
  <si>
    <t xml:space="preserve">Excluded from employment income if incurred or likely to be incurred in performing employment duties. No fixed per-diem cap in the Act. </t>
  </si>
  <si>
    <t xml:space="preserve">Excluded from the employee’s employment income (i.e., not taxable to the employee). </t>
  </si>
  <si>
    <t>A benefit provided to an employee not exceeding UGX 10,000 in a month is treated as non-taxable (exclusion).</t>
  </si>
  <si>
    <t xml:space="preserve">Excluded from employment income for the employee; employer’s deduction allowed where the value is included in employment income or provided on equal terms to all workers. </t>
  </si>
  <si>
    <t xml:space="preserve">Taxable benefits with specific valuation rules (e.g., housing “lower of market rent less employee contribution or 15% of emoluments”; car benefit formula (20% × A × B/C) – D; loan benefit = (statutory – actual rate) × principal/12). </t>
  </si>
  <si>
    <t>NSSF contributions (Employer + Employee)</t>
  </si>
  <si>
    <t>NSSF Act (Cap 230)</t>
  </si>
  <si>
    <t xml:space="preserve">Employee: 5% of gross monthly wage; Employer: 10% of gross monthly wage → Total 15%.
Practically interpreted as cash pay (salary/wages and cash allowances). Non-cash benefits are not explicitly included or excluded in statute wording; treat reimbursements/benefits-in-kind with care and document your position. </t>
  </si>
  <si>
    <t>No national SHI/NHIF payroll levy in force as of FY 2024/25–2025/26. Parliament passed an NHIS Bill in 2021, but Presidential assent has not occurred and the scheme remains stalled / being re-tabled; thus no statutory deductions yet.</t>
  </si>
  <si>
    <t>None</t>
  </si>
  <si>
    <t>Excluded from employee’s employment income. 
Generally exempt from income tax (unlike gratuity/terminal benefits, which are taxable as employment income).</t>
  </si>
  <si>
    <t>National Social Security Fund (Amendment) Act, 2021 (NSSF NO. 222 of Act 2021) and National Social Security Fund (Amendment) Act, 1985 (NSSF NO. 230 of 1985)</t>
  </si>
  <si>
    <t>Uganda Retirement Benefits Regulatory Authority (URBRA) Act, 2011</t>
  </si>
  <si>
    <t>Employment Act, 2006</t>
  </si>
  <si>
    <t>Permitted deductions (taxes, NSSF, agreed items, court orders, etc.)</t>
  </si>
  <si>
    <t>Deductions must be authorised by law/contract/employee consent; certain deductions prohibited.</t>
  </si>
  <si>
    <t>Any attachment of wages (by operation of law) shall not exceed two-thirds (⅔) of remuneration due for the pay period. (Useful ceiling when you design any payroll deductions, including salary advances/EWA).</t>
  </si>
  <si>
    <t xml:space="preserve">Treated as advance of wages already earned / due, not a loan, where the employee consents and payroll reflects the deduction; ensure total deductions respect the ⅔ cap and other permitted-deduction rules. (No central-bank licensing applies if it remains a wages advance, not credit.) </t>
  </si>
  <si>
    <t>Central Bank of Uganda (National Payment Systems Act, 2020 (NPSA) and the National Payment Systems Regulations, 2021)</t>
  </si>
  <si>
    <t>Uganda Microfinance Regulatory Authority (UMRA)</t>
  </si>
  <si>
    <t>Credit facility under the Uganda Microfinance Regulatory Authority (UMRA)</t>
  </si>
  <si>
    <t>Interest-bearing under the Uganda Microfinance Regulatory Authority (UMRA)</t>
  </si>
  <si>
    <t>Output</t>
  </si>
  <si>
    <t>PAYE</t>
  </si>
  <si>
    <t>LST</t>
  </si>
  <si>
    <t>Remittances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</si>
</sst>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CADE4"/>
        <bgColor indexed="64"/>
      </patternFill>
    </fill>
    <fill>
      <patternFill patternType="solid">
        <fgColor rgb="FFD1EF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165" fontId="0" fillId="0" borderId="0" xfId="1" applyNumberFormat="1" applyFont="1"/>
    <xf numFmtId="43" fontId="0" fillId="0" borderId="1" xfId="1" applyFont="1" applyBorder="1"/>
    <xf numFmtId="165" fontId="0" fillId="0" borderId="0" xfId="0" applyNumberFormat="1"/>
    <xf numFmtId="43" fontId="0" fillId="0" borderId="0" xfId="0" applyNumberFormat="1"/>
    <xf numFmtId="9" fontId="0" fillId="0" borderId="0" xfId="0" applyNumberFormat="1"/>
    <xf numFmtId="0" fontId="1" fillId="3" borderId="0" xfId="0" applyFont="1" applyFill="1" applyAlignment="1">
      <alignment horizontal="left"/>
    </xf>
    <xf numFmtId="43" fontId="1" fillId="2" borderId="0" xfId="1" applyFont="1" applyFill="1" applyAlignment="1">
      <alignment horizontal="left"/>
    </xf>
    <xf numFmtId="0" fontId="8" fillId="5" borderId="0" xfId="0" applyFont="1" applyFill="1" applyAlignment="1">
      <alignment vertical="center"/>
    </xf>
    <xf numFmtId="37" fontId="9" fillId="6" borderId="0" xfId="1" applyNumberFormat="1" applyFont="1" applyFill="1" applyBorder="1" applyAlignment="1">
      <alignment vertical="center"/>
    </xf>
    <xf numFmtId="0" fontId="0" fillId="6" borderId="0" xfId="0" applyFill="1"/>
    <xf numFmtId="164" fontId="0" fillId="6" borderId="0" xfId="2" applyNumberFormat="1" applyFont="1" applyFill="1"/>
    <xf numFmtId="165" fontId="0" fillId="6" borderId="0" xfId="1" applyNumberFormat="1" applyFont="1" applyFill="1"/>
    <xf numFmtId="2" fontId="0" fillId="6" borderId="0" xfId="0" applyNumberFormat="1" applyFill="1"/>
    <xf numFmtId="9" fontId="0" fillId="6" borderId="0" xfId="2" applyFont="1" applyFill="1"/>
    <xf numFmtId="165" fontId="7" fillId="7" borderId="0" xfId="0" applyNumberFormat="1" applyFont="1" applyFill="1"/>
    <xf numFmtId="0" fontId="7" fillId="7" borderId="0" xfId="0" applyFont="1" applyFill="1"/>
    <xf numFmtId="0" fontId="5" fillId="8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0" fillId="4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2" fontId="1" fillId="2" borderId="0" xfId="1" applyNumberFormat="1" applyFont="1" applyFill="1" applyAlignment="1">
      <alignment horizontal="right"/>
    </xf>
    <xf numFmtId="165" fontId="0" fillId="6" borderId="0" xfId="1" applyNumberFormat="1" applyFont="1" applyFill="1" applyAlignment="1">
      <alignment horizontal="right"/>
    </xf>
    <xf numFmtId="165" fontId="0" fillId="0" borderId="1" xfId="1" applyNumberFormat="1" applyFont="1" applyBorder="1"/>
    <xf numFmtId="165" fontId="4" fillId="4" borderId="1" xfId="1" applyNumberFormat="1" applyFont="1" applyFill="1" applyBorder="1"/>
    <xf numFmtId="165" fontId="3" fillId="4" borderId="1" xfId="1" applyNumberFormat="1" applyFont="1" applyFill="1" applyBorder="1"/>
    <xf numFmtId="165" fontId="3" fillId="10" borderId="1" xfId="1" applyNumberFormat="1" applyFont="1" applyFill="1" applyBorder="1"/>
    <xf numFmtId="165" fontId="3" fillId="9" borderId="1" xfId="1" applyNumberFormat="1" applyFont="1" applyFill="1" applyBorder="1"/>
    <xf numFmtId="165" fontId="6" fillId="7" borderId="1" xfId="1" applyNumberFormat="1" applyFont="1" applyFill="1" applyBorder="1"/>
    <xf numFmtId="0" fontId="11" fillId="4" borderId="0" xfId="0" applyFont="1" applyFill="1" applyAlignment="1">
      <alignment horizontal="left" vertical="center"/>
    </xf>
    <xf numFmtId="0" fontId="5" fillId="8" borderId="1" xfId="0" applyFont="1" applyFill="1" applyBorder="1" applyAlignment="1">
      <alignment horizontal="left"/>
    </xf>
    <xf numFmtId="165" fontId="6" fillId="7" borderId="1" xfId="0" applyNumberFormat="1" applyFont="1" applyFill="1" applyBorder="1"/>
    <xf numFmtId="0" fontId="8" fillId="5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1CAD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886C-59C2-4070-B428-D28C427B7CA4}">
  <dimension ref="A1:G36"/>
  <sheetViews>
    <sheetView zoomScale="82" workbookViewId="0">
      <selection activeCell="B5" sqref="B5"/>
    </sheetView>
  </sheetViews>
  <sheetFormatPr defaultRowHeight="14.4" x14ac:dyDescent="0.3"/>
  <cols>
    <col min="1" max="1" width="38.44140625" customWidth="1"/>
    <col min="2" max="2" width="75.5546875" customWidth="1"/>
    <col min="3" max="3" width="78.88671875" customWidth="1"/>
    <col min="4" max="7" width="28" customWidth="1"/>
  </cols>
  <sheetData>
    <row r="1" spans="1:7" x14ac:dyDescent="0.3">
      <c r="A1" s="9" t="s">
        <v>101</v>
      </c>
      <c r="B1" s="9"/>
      <c r="C1" s="9"/>
      <c r="D1" s="9"/>
      <c r="E1" s="9"/>
      <c r="F1" s="9"/>
      <c r="G1" s="9"/>
    </row>
    <row r="2" spans="1:7" x14ac:dyDescent="0.3">
      <c r="A2" s="37" t="s">
        <v>53</v>
      </c>
      <c r="B2" s="38"/>
      <c r="C2" s="38"/>
      <c r="D2" s="38"/>
      <c r="E2" s="38"/>
      <c r="F2" s="38"/>
      <c r="G2" s="39"/>
    </row>
    <row r="3" spans="1:7" x14ac:dyDescent="0.3">
      <c r="A3" s="40"/>
      <c r="B3" s="41"/>
      <c r="C3" s="41"/>
      <c r="D3" s="41"/>
      <c r="E3" s="41"/>
      <c r="F3" s="41"/>
      <c r="G3" s="42"/>
    </row>
    <row r="4" spans="1:7" x14ac:dyDescent="0.3">
      <c r="A4" s="36" t="s">
        <v>102</v>
      </c>
      <c r="B4" s="36"/>
      <c r="C4" s="36"/>
    </row>
    <row r="5" spans="1:7" x14ac:dyDescent="0.3">
      <c r="A5" s="22" t="s">
        <v>50</v>
      </c>
      <c r="B5" s="22" t="s">
        <v>56</v>
      </c>
      <c r="C5" s="33" t="s">
        <v>57</v>
      </c>
    </row>
    <row r="6" spans="1:7" ht="28.8" x14ac:dyDescent="0.3">
      <c r="A6" s="23" t="s">
        <v>54</v>
      </c>
      <c r="B6" s="23" t="s">
        <v>104</v>
      </c>
      <c r="C6" s="20" t="s">
        <v>103</v>
      </c>
    </row>
    <row r="7" spans="1:7" x14ac:dyDescent="0.3">
      <c r="A7" s="23" t="s">
        <v>55</v>
      </c>
      <c r="B7" s="23" t="s">
        <v>104</v>
      </c>
      <c r="C7" s="20" t="s">
        <v>105</v>
      </c>
    </row>
    <row r="8" spans="1:7" ht="28.8" x14ac:dyDescent="0.3">
      <c r="A8" s="20" t="s">
        <v>108</v>
      </c>
      <c r="B8" s="23" t="s">
        <v>109</v>
      </c>
      <c r="C8" s="20" t="s">
        <v>116</v>
      </c>
    </row>
    <row r="9" spans="1:7" ht="28.8" x14ac:dyDescent="0.3">
      <c r="A9" s="20" t="s">
        <v>110</v>
      </c>
      <c r="B9" s="23" t="s">
        <v>88</v>
      </c>
      <c r="C9" s="20" t="s">
        <v>117</v>
      </c>
    </row>
    <row r="10" spans="1:7" ht="28.8" x14ac:dyDescent="0.3">
      <c r="A10" s="20" t="s">
        <v>111</v>
      </c>
      <c r="B10" s="23" t="s">
        <v>112</v>
      </c>
      <c r="C10" s="20" t="s">
        <v>118</v>
      </c>
    </row>
    <row r="11" spans="1:7" ht="28.8" x14ac:dyDescent="0.3">
      <c r="A11" s="20" t="s">
        <v>89</v>
      </c>
      <c r="B11" s="21" t="s">
        <v>90</v>
      </c>
      <c r="C11" s="20" t="s">
        <v>119</v>
      </c>
    </row>
    <row r="12" spans="1:7" ht="28.8" x14ac:dyDescent="0.3">
      <c r="A12" s="20" t="s">
        <v>91</v>
      </c>
      <c r="B12" s="23" t="s">
        <v>113</v>
      </c>
      <c r="C12" s="20" t="s">
        <v>120</v>
      </c>
    </row>
    <row r="13" spans="1:7" ht="43.2" x14ac:dyDescent="0.3">
      <c r="A13" s="20" t="s">
        <v>114</v>
      </c>
      <c r="B13" s="23" t="s">
        <v>115</v>
      </c>
      <c r="C13" s="20" t="s">
        <v>121</v>
      </c>
    </row>
    <row r="14" spans="1:7" x14ac:dyDescent="0.3">
      <c r="A14" s="36" t="s">
        <v>128</v>
      </c>
      <c r="B14" s="36"/>
      <c r="C14" s="36"/>
    </row>
    <row r="15" spans="1:7" x14ac:dyDescent="0.3">
      <c r="A15" s="22" t="s">
        <v>50</v>
      </c>
      <c r="B15" s="22" t="s">
        <v>56</v>
      </c>
      <c r="C15" s="33" t="s">
        <v>57</v>
      </c>
    </row>
    <row r="16" spans="1:7" ht="57.6" x14ac:dyDescent="0.3">
      <c r="A16" s="20" t="s">
        <v>122</v>
      </c>
      <c r="B16" s="20" t="s">
        <v>123</v>
      </c>
      <c r="C16" s="20" t="s">
        <v>124</v>
      </c>
    </row>
    <row r="17" spans="1:3" x14ac:dyDescent="0.3">
      <c r="A17" s="36" t="s">
        <v>126</v>
      </c>
      <c r="B17" s="36"/>
      <c r="C17" s="36"/>
    </row>
    <row r="18" spans="1:3" x14ac:dyDescent="0.3">
      <c r="A18" s="22" t="s">
        <v>50</v>
      </c>
      <c r="B18" s="22" t="s">
        <v>56</v>
      </c>
      <c r="C18" s="33" t="s">
        <v>57</v>
      </c>
    </row>
    <row r="19" spans="1:3" ht="43.2" x14ac:dyDescent="0.3">
      <c r="A19" s="23" t="s">
        <v>92</v>
      </c>
      <c r="B19" s="20" t="s">
        <v>104</v>
      </c>
      <c r="C19" s="20" t="s">
        <v>125</v>
      </c>
    </row>
    <row r="20" spans="1:3" x14ac:dyDescent="0.3">
      <c r="A20" s="36" t="s">
        <v>126</v>
      </c>
      <c r="B20" s="36"/>
      <c r="C20" s="36"/>
    </row>
    <row r="21" spans="1:3" x14ac:dyDescent="0.3">
      <c r="A21" s="22" t="s">
        <v>50</v>
      </c>
      <c r="B21" s="22" t="s">
        <v>56</v>
      </c>
      <c r="C21" s="33" t="s">
        <v>57</v>
      </c>
    </row>
    <row r="22" spans="1:3" x14ac:dyDescent="0.3">
      <c r="A22" s="24" t="s">
        <v>93</v>
      </c>
      <c r="B22" s="24" t="s">
        <v>104</v>
      </c>
      <c r="C22" s="24" t="s">
        <v>107</v>
      </c>
    </row>
    <row r="23" spans="1:3" x14ac:dyDescent="0.3">
      <c r="A23" s="36" t="s">
        <v>129</v>
      </c>
      <c r="B23" s="36"/>
      <c r="C23" s="36"/>
    </row>
    <row r="24" spans="1:3" x14ac:dyDescent="0.3">
      <c r="A24" s="22" t="s">
        <v>50</v>
      </c>
      <c r="B24" s="22" t="s">
        <v>56</v>
      </c>
      <c r="C24" s="33" t="s">
        <v>57</v>
      </c>
    </row>
    <row r="25" spans="1:3" ht="43.2" x14ac:dyDescent="0.3">
      <c r="A25" s="23" t="s">
        <v>94</v>
      </c>
      <c r="B25" s="20" t="s">
        <v>95</v>
      </c>
      <c r="C25" s="20" t="s">
        <v>127</v>
      </c>
    </row>
    <row r="26" spans="1:3" x14ac:dyDescent="0.3">
      <c r="A26" s="36" t="s">
        <v>130</v>
      </c>
      <c r="B26" s="36"/>
      <c r="C26" s="36"/>
    </row>
    <row r="27" spans="1:3" x14ac:dyDescent="0.3">
      <c r="A27" s="22" t="s">
        <v>50</v>
      </c>
      <c r="B27" s="22" t="s">
        <v>56</v>
      </c>
      <c r="C27" s="33" t="s">
        <v>57</v>
      </c>
    </row>
    <row r="28" spans="1:3" ht="28.8" x14ac:dyDescent="0.3">
      <c r="A28" s="20" t="s">
        <v>131</v>
      </c>
      <c r="B28" s="20" t="s">
        <v>96</v>
      </c>
      <c r="C28" s="20" t="s">
        <v>132</v>
      </c>
    </row>
    <row r="29" spans="1:3" ht="43.2" x14ac:dyDescent="0.3">
      <c r="A29" s="20" t="s">
        <v>97</v>
      </c>
      <c r="B29" s="20" t="s">
        <v>98</v>
      </c>
      <c r="C29" s="20" t="s">
        <v>133</v>
      </c>
    </row>
    <row r="30" spans="1:3" ht="57.6" x14ac:dyDescent="0.3">
      <c r="A30" s="20" t="s">
        <v>99</v>
      </c>
      <c r="B30" s="20" t="s">
        <v>100</v>
      </c>
      <c r="C30" s="20" t="s">
        <v>134</v>
      </c>
    </row>
    <row r="31" spans="1:3" x14ac:dyDescent="0.3">
      <c r="A31" s="22" t="s">
        <v>59</v>
      </c>
      <c r="B31" s="22" t="s">
        <v>60</v>
      </c>
      <c r="C31" s="22" t="s">
        <v>61</v>
      </c>
    </row>
    <row r="32" spans="1:3" x14ac:dyDescent="0.3">
      <c r="A32" s="24" t="s">
        <v>62</v>
      </c>
      <c r="B32" s="24" t="s">
        <v>63</v>
      </c>
      <c r="C32" s="24" t="s">
        <v>106</v>
      </c>
    </row>
    <row r="33" spans="1:3" x14ac:dyDescent="0.3">
      <c r="A33" s="24" t="s">
        <v>64</v>
      </c>
      <c r="B33" s="24" t="s">
        <v>65</v>
      </c>
      <c r="C33" s="24" t="s">
        <v>137</v>
      </c>
    </row>
    <row r="34" spans="1:3" x14ac:dyDescent="0.3">
      <c r="A34" s="24" t="s">
        <v>66</v>
      </c>
      <c r="B34" s="24" t="s">
        <v>67</v>
      </c>
      <c r="C34" s="24" t="s">
        <v>138</v>
      </c>
    </row>
    <row r="35" spans="1:3" x14ac:dyDescent="0.3">
      <c r="A35" s="24" t="s">
        <v>68</v>
      </c>
      <c r="B35" s="24" t="s">
        <v>69</v>
      </c>
      <c r="C35" s="24" t="s">
        <v>70</v>
      </c>
    </row>
    <row r="36" spans="1:3" ht="28.8" x14ac:dyDescent="0.3">
      <c r="A36" s="24" t="s">
        <v>71</v>
      </c>
      <c r="B36" s="24" t="s">
        <v>135</v>
      </c>
      <c r="C36" s="24" t="s">
        <v>136</v>
      </c>
    </row>
  </sheetData>
  <mergeCells count="7">
    <mergeCell ref="A26:C26"/>
    <mergeCell ref="A2:G3"/>
    <mergeCell ref="A4:C4"/>
    <mergeCell ref="A14:C14"/>
    <mergeCell ref="A17:C17"/>
    <mergeCell ref="A20:C20"/>
    <mergeCell ref="A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44.6640625" customWidth="1"/>
    <col min="2" max="2" width="24" customWidth="1"/>
    <col min="3" max="3" width="46.44140625" bestFit="1" customWidth="1"/>
    <col min="4" max="4" width="12.33203125" customWidth="1"/>
    <col min="5" max="5" width="12.77734375" bestFit="1" customWidth="1"/>
    <col min="6" max="6" width="15" customWidth="1"/>
    <col min="7" max="7" width="11.33203125" bestFit="1" customWidth="1"/>
  </cols>
  <sheetData>
    <row r="1" spans="1:3" x14ac:dyDescent="0.3">
      <c r="A1" s="9" t="s">
        <v>49</v>
      </c>
      <c r="B1" s="9" t="s">
        <v>48</v>
      </c>
      <c r="C1" s="9" t="s">
        <v>50</v>
      </c>
    </row>
    <row r="2" spans="1:3" ht="18" customHeight="1" x14ac:dyDescent="0.3">
      <c r="A2" t="s">
        <v>0</v>
      </c>
      <c r="B2" s="10">
        <v>0</v>
      </c>
      <c r="C2" t="s">
        <v>77</v>
      </c>
    </row>
    <row r="3" spans="1:3" ht="18" customHeight="1" x14ac:dyDescent="0.3">
      <c r="A3" t="s">
        <v>1</v>
      </c>
      <c r="B3" s="11">
        <v>0</v>
      </c>
      <c r="C3" t="s">
        <v>77</v>
      </c>
    </row>
    <row r="4" spans="1:3" ht="18" customHeight="1" x14ac:dyDescent="0.3">
      <c r="A4" t="s">
        <v>2</v>
      </c>
      <c r="B4" s="13">
        <v>0</v>
      </c>
      <c r="C4" t="s">
        <v>84</v>
      </c>
    </row>
    <row r="5" spans="1:3" ht="18" customHeight="1" x14ac:dyDescent="0.3">
      <c r="A5" t="s">
        <v>14</v>
      </c>
      <c r="B5" s="13">
        <v>0</v>
      </c>
      <c r="C5" t="s">
        <v>15</v>
      </c>
    </row>
    <row r="6" spans="1:3" ht="18" customHeight="1" x14ac:dyDescent="0.3">
      <c r="A6" t="s">
        <v>78</v>
      </c>
      <c r="B6" s="26">
        <v>0</v>
      </c>
      <c r="C6" t="s">
        <v>84</v>
      </c>
    </row>
    <row r="7" spans="1:3" ht="18" customHeight="1" x14ac:dyDescent="0.3">
      <c r="A7" t="s">
        <v>16</v>
      </c>
      <c r="B7" s="13">
        <v>0</v>
      </c>
      <c r="C7" t="s">
        <v>17</v>
      </c>
    </row>
    <row r="8" spans="1:3" ht="18" customHeight="1" x14ac:dyDescent="0.3">
      <c r="A8" t="s">
        <v>86</v>
      </c>
      <c r="B8" s="13">
        <v>0</v>
      </c>
      <c r="C8" t="s">
        <v>84</v>
      </c>
    </row>
    <row r="9" spans="1:3" ht="18" customHeight="1" x14ac:dyDescent="0.3">
      <c r="A9" t="s">
        <v>24</v>
      </c>
      <c r="B9" s="26">
        <v>0</v>
      </c>
      <c r="C9" t="s">
        <v>84</v>
      </c>
    </row>
    <row r="10" spans="1:3" ht="18" customHeight="1" x14ac:dyDescent="0.3">
      <c r="A10" t="s">
        <v>75</v>
      </c>
      <c r="B10" s="12">
        <v>0.1</v>
      </c>
      <c r="C10" t="s">
        <v>85</v>
      </c>
    </row>
    <row r="11" spans="1:3" ht="18" customHeight="1" x14ac:dyDescent="0.3">
      <c r="A11" t="s">
        <v>3</v>
      </c>
      <c r="B11" s="12">
        <v>0.05</v>
      </c>
      <c r="C11" t="s">
        <v>58</v>
      </c>
    </row>
    <row r="12" spans="1:3" ht="18" customHeight="1" x14ac:dyDescent="0.3">
      <c r="A12" t="s">
        <v>29</v>
      </c>
      <c r="B12" s="14">
        <f>Inputs!B11</f>
        <v>30</v>
      </c>
      <c r="C12" t="s">
        <v>28</v>
      </c>
    </row>
    <row r="13" spans="1:3" ht="18" customHeight="1" x14ac:dyDescent="0.3">
      <c r="A13" t="s">
        <v>30</v>
      </c>
      <c r="B13" s="14">
        <f ca="1">_xlfn.DAYS(EOMONTH(TODAY(),0),(EOMONTH(TODAY(), - 1) + 0))</f>
        <v>30</v>
      </c>
      <c r="C13" t="s">
        <v>31</v>
      </c>
    </row>
    <row r="14" spans="1:3" ht="18" customHeight="1" x14ac:dyDescent="0.3">
      <c r="A14" t="s">
        <v>34</v>
      </c>
      <c r="B14" s="15">
        <v>0.6</v>
      </c>
      <c r="C14" t="s">
        <v>35</v>
      </c>
    </row>
    <row r="15" spans="1:3" ht="18" customHeight="1" x14ac:dyDescent="0.3">
      <c r="B15" s="6"/>
    </row>
    <row r="16" spans="1:3" ht="18" customHeight="1" x14ac:dyDescent="0.3">
      <c r="A16" s="9" t="s">
        <v>4</v>
      </c>
    </row>
    <row r="17" spans="1:7" ht="18" customHeight="1" x14ac:dyDescent="0.3">
      <c r="A17" s="1" t="s">
        <v>5</v>
      </c>
      <c r="B17" s="1" t="s">
        <v>6</v>
      </c>
      <c r="C17" s="1" t="s">
        <v>7</v>
      </c>
      <c r="D17" s="1" t="s">
        <v>25</v>
      </c>
    </row>
    <row r="18" spans="1:7" ht="18" customHeight="1" x14ac:dyDescent="0.3">
      <c r="A18" s="13">
        <v>0</v>
      </c>
      <c r="B18" s="13">
        <v>235000</v>
      </c>
      <c r="C18" s="15">
        <v>0</v>
      </c>
      <c r="D18" s="16">
        <f>B18*C18</f>
        <v>0</v>
      </c>
      <c r="E18" s="4"/>
    </row>
    <row r="19" spans="1:7" ht="18" customHeight="1" x14ac:dyDescent="0.3">
      <c r="A19" s="13">
        <v>235001</v>
      </c>
      <c r="B19" s="13">
        <v>335000</v>
      </c>
      <c r="C19" s="15">
        <v>0.1</v>
      </c>
      <c r="D19" s="16">
        <f>(B19-B18)*C19</f>
        <v>10000</v>
      </c>
      <c r="E19" s="5"/>
      <c r="F19" s="5"/>
    </row>
    <row r="20" spans="1:7" ht="18" customHeight="1" x14ac:dyDescent="0.3">
      <c r="A20" s="13">
        <v>335001</v>
      </c>
      <c r="B20" s="13">
        <v>410000</v>
      </c>
      <c r="C20" s="15">
        <v>0.2</v>
      </c>
      <c r="D20" s="16">
        <f>(B20-B19)*C20</f>
        <v>15000</v>
      </c>
      <c r="E20" s="5"/>
    </row>
    <row r="21" spans="1:7" ht="18" customHeight="1" x14ac:dyDescent="0.3">
      <c r="A21" s="13">
        <v>410001</v>
      </c>
      <c r="B21" s="13">
        <v>10000000</v>
      </c>
      <c r="C21" s="15">
        <v>0.3</v>
      </c>
      <c r="D21" s="16">
        <f>(B21-B20)*C21</f>
        <v>2877000</v>
      </c>
      <c r="E21" s="4"/>
    </row>
    <row r="22" spans="1:7" ht="18" customHeight="1" x14ac:dyDescent="0.3">
      <c r="A22" s="13">
        <v>1000000</v>
      </c>
      <c r="B22" s="13"/>
      <c r="C22" s="15">
        <v>0.4</v>
      </c>
      <c r="D22" s="17"/>
      <c r="E22" s="5"/>
      <c r="F22" s="5"/>
      <c r="G22" s="5"/>
    </row>
    <row r="23" spans="1:7" ht="18" customHeight="1" x14ac:dyDescent="0.3">
      <c r="E23" s="4"/>
      <c r="F23" s="5"/>
      <c r="G23" s="5"/>
    </row>
    <row r="24" spans="1:7" ht="18" customHeight="1" x14ac:dyDescent="0.3">
      <c r="A24" s="9" t="s">
        <v>76</v>
      </c>
      <c r="E24" s="4"/>
    </row>
    <row r="25" spans="1:7" ht="18" customHeight="1" x14ac:dyDescent="0.3">
      <c r="A25" s="1" t="s">
        <v>5</v>
      </c>
      <c r="B25" s="1" t="s">
        <v>6</v>
      </c>
      <c r="C25" s="1" t="s">
        <v>25</v>
      </c>
    </row>
    <row r="26" spans="1:7" ht="18" customHeight="1" x14ac:dyDescent="0.3">
      <c r="A26" s="13">
        <v>0</v>
      </c>
      <c r="B26" s="13">
        <v>100000</v>
      </c>
      <c r="C26" s="13">
        <v>0</v>
      </c>
    </row>
    <row r="27" spans="1:7" ht="18" customHeight="1" x14ac:dyDescent="0.3">
      <c r="A27" s="13">
        <v>100001</v>
      </c>
      <c r="B27" s="13">
        <v>200000</v>
      </c>
      <c r="C27" s="13">
        <v>5000</v>
      </c>
    </row>
    <row r="28" spans="1:7" ht="18" customHeight="1" x14ac:dyDescent="0.3">
      <c r="A28" s="13">
        <v>200001</v>
      </c>
      <c r="B28" s="13">
        <v>300000</v>
      </c>
      <c r="C28" s="13">
        <v>10000</v>
      </c>
    </row>
    <row r="29" spans="1:7" ht="18" customHeight="1" x14ac:dyDescent="0.3">
      <c r="A29" s="13">
        <v>300001</v>
      </c>
      <c r="B29" s="13">
        <v>400000</v>
      </c>
      <c r="C29" s="13">
        <v>20000</v>
      </c>
    </row>
    <row r="30" spans="1:7" ht="18" customHeight="1" x14ac:dyDescent="0.3">
      <c r="A30" s="13">
        <v>400001</v>
      </c>
      <c r="B30" s="13">
        <v>500000</v>
      </c>
      <c r="C30" s="13">
        <v>30000</v>
      </c>
    </row>
    <row r="31" spans="1:7" ht="18" customHeight="1" x14ac:dyDescent="0.3">
      <c r="A31" s="13">
        <v>500001</v>
      </c>
      <c r="B31" s="13">
        <v>600000</v>
      </c>
      <c r="C31" s="13">
        <v>40000</v>
      </c>
    </row>
    <row r="32" spans="1:7" ht="18" customHeight="1" x14ac:dyDescent="0.3">
      <c r="A32" s="13">
        <v>600001</v>
      </c>
      <c r="B32" s="13">
        <v>700000</v>
      </c>
      <c r="C32" s="13">
        <v>60000</v>
      </c>
    </row>
    <row r="33" spans="1:3" ht="18" customHeight="1" x14ac:dyDescent="0.3">
      <c r="A33" s="13">
        <v>700001</v>
      </c>
      <c r="B33" s="13">
        <v>800000</v>
      </c>
      <c r="C33" s="13">
        <v>70000</v>
      </c>
    </row>
    <row r="34" spans="1:3" ht="18" customHeight="1" x14ac:dyDescent="0.3">
      <c r="A34" s="13">
        <v>800001</v>
      </c>
      <c r="B34" s="13">
        <v>900000</v>
      </c>
      <c r="C34" s="13">
        <v>80000</v>
      </c>
    </row>
    <row r="35" spans="1:3" ht="18" customHeight="1" x14ac:dyDescent="0.3">
      <c r="A35" s="13">
        <v>900001</v>
      </c>
      <c r="B35" s="13">
        <v>1000000</v>
      </c>
      <c r="C35" s="13">
        <v>90000</v>
      </c>
    </row>
    <row r="36" spans="1:3" ht="18" customHeight="1" x14ac:dyDescent="0.3">
      <c r="A36" s="13">
        <v>10000000</v>
      </c>
      <c r="B36" s="13"/>
      <c r="C36" s="13">
        <v>100000</v>
      </c>
    </row>
    <row r="37" spans="1:3" ht="18" customHeight="1" x14ac:dyDescent="0.3">
      <c r="A37" s="2"/>
      <c r="B37" s="2"/>
      <c r="C37" s="2"/>
    </row>
    <row r="38" spans="1:3" ht="18" customHeight="1" x14ac:dyDescent="0.3">
      <c r="A38" s="2"/>
      <c r="B38" s="2"/>
      <c r="C38" s="2"/>
    </row>
    <row r="39" spans="1:3" ht="18" customHeight="1" x14ac:dyDescent="0.3">
      <c r="A39" s="2"/>
      <c r="B39" s="2"/>
      <c r="C39" s="2"/>
    </row>
    <row r="40" spans="1:3" ht="18" customHeight="1" x14ac:dyDescent="0.3">
      <c r="A40" s="2"/>
      <c r="B40" s="2"/>
      <c r="C40" s="2"/>
    </row>
    <row r="41" spans="1:3" ht="18" customHeight="1" x14ac:dyDescent="0.3">
      <c r="A41" s="2"/>
      <c r="B41" s="2"/>
      <c r="C4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46.21875" bestFit="1" customWidth="1"/>
    <col min="2" max="2" width="22" customWidth="1"/>
    <col min="3" max="3" width="58.88671875" bestFit="1" customWidth="1"/>
    <col min="4" max="9" width="22" customWidth="1"/>
    <col min="10" max="10" width="39" bestFit="1" customWidth="1"/>
    <col min="11" max="11" width="10.33203125" bestFit="1" customWidth="1"/>
    <col min="12" max="12" width="11.33203125" bestFit="1" customWidth="1"/>
  </cols>
  <sheetData>
    <row r="1" spans="1:3" x14ac:dyDescent="0.3">
      <c r="A1" s="9" t="s">
        <v>51</v>
      </c>
      <c r="B1" s="9"/>
      <c r="C1" s="9"/>
    </row>
    <row r="2" spans="1:3" x14ac:dyDescent="0.3">
      <c r="A2" s="18" t="s">
        <v>8</v>
      </c>
      <c r="B2" s="19" t="s">
        <v>9</v>
      </c>
      <c r="C2" t="s">
        <v>26</v>
      </c>
    </row>
    <row r="3" spans="1:3" x14ac:dyDescent="0.3">
      <c r="A3" s="18" t="s">
        <v>39</v>
      </c>
      <c r="B3" s="8">
        <v>10000000</v>
      </c>
      <c r="C3" t="s">
        <v>26</v>
      </c>
    </row>
    <row r="4" spans="1:3" x14ac:dyDescent="0.3">
      <c r="A4" s="18" t="s">
        <v>72</v>
      </c>
      <c r="B4" s="8"/>
      <c r="C4" t="s">
        <v>26</v>
      </c>
    </row>
    <row r="5" spans="1:3" x14ac:dyDescent="0.3">
      <c r="A5" s="18" t="s">
        <v>79</v>
      </c>
      <c r="B5" s="8"/>
      <c r="C5" t="s">
        <v>26</v>
      </c>
    </row>
    <row r="6" spans="1:3" hidden="1" x14ac:dyDescent="0.3">
      <c r="A6" s="18" t="s">
        <v>40</v>
      </c>
      <c r="B6" s="8"/>
      <c r="C6" t="s">
        <v>26</v>
      </c>
    </row>
    <row r="7" spans="1:3" hidden="1" x14ac:dyDescent="0.3">
      <c r="A7" s="18" t="s">
        <v>41</v>
      </c>
      <c r="B7" s="8"/>
      <c r="C7" t="s">
        <v>26</v>
      </c>
    </row>
    <row r="8" spans="1:3" x14ac:dyDescent="0.3">
      <c r="A8" s="18" t="s">
        <v>20</v>
      </c>
      <c r="B8" s="8"/>
      <c r="C8" t="s">
        <v>26</v>
      </c>
    </row>
    <row r="9" spans="1:3" x14ac:dyDescent="0.3">
      <c r="A9" s="18" t="s">
        <v>22</v>
      </c>
      <c r="B9" s="8"/>
      <c r="C9" t="s">
        <v>26</v>
      </c>
    </row>
    <row r="10" spans="1:3" x14ac:dyDescent="0.3">
      <c r="A10" s="18" t="s">
        <v>81</v>
      </c>
      <c r="B10" s="8"/>
      <c r="C10" t="s">
        <v>26</v>
      </c>
    </row>
    <row r="11" spans="1:3" x14ac:dyDescent="0.3">
      <c r="A11" s="18" t="s">
        <v>73</v>
      </c>
      <c r="B11" s="25">
        <v>30</v>
      </c>
      <c r="C11" t="s">
        <v>26</v>
      </c>
    </row>
    <row r="12" spans="1:3" x14ac:dyDescent="0.3">
      <c r="A12" s="18" t="s">
        <v>42</v>
      </c>
      <c r="B12" s="7"/>
      <c r="C12" t="s">
        <v>47</v>
      </c>
    </row>
    <row r="13" spans="1:3" x14ac:dyDescent="0.3">
      <c r="A13" s="18" t="s">
        <v>43</v>
      </c>
      <c r="B13" s="7"/>
      <c r="C13" t="s">
        <v>47</v>
      </c>
    </row>
    <row r="14" spans="1:3" x14ac:dyDescent="0.3">
      <c r="A14" s="18" t="s">
        <v>44</v>
      </c>
      <c r="B14" s="7"/>
      <c r="C14" t="s">
        <v>47</v>
      </c>
    </row>
    <row r="15" spans="1:3" x14ac:dyDescent="0.3">
      <c r="A15" s="18" t="s">
        <v>45</v>
      </c>
      <c r="B15" s="7"/>
      <c r="C1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"/>
  <sheetViews>
    <sheetView workbookViewId="0">
      <pane ySplit="2" topLeftCell="A7" activePane="bottomLeft" state="frozen"/>
      <selection pane="bottomLeft" activeCell="A18" sqref="A17:B18"/>
    </sheetView>
  </sheetViews>
  <sheetFormatPr defaultRowHeight="14.4" x14ac:dyDescent="0.3"/>
  <cols>
    <col min="1" max="1" width="105.33203125" bestFit="1" customWidth="1"/>
    <col min="2" max="29" width="22" customWidth="1"/>
  </cols>
  <sheetData>
    <row r="1" spans="1:21" x14ac:dyDescent="0.3">
      <c r="A1" s="9" t="s">
        <v>52</v>
      </c>
      <c r="B1" s="9"/>
    </row>
    <row r="2" spans="1:21" x14ac:dyDescent="0.3">
      <c r="A2" s="18" t="s">
        <v>8</v>
      </c>
      <c r="B2" s="3" t="str">
        <f>Inputs!B2</f>
        <v>Sample Employee</v>
      </c>
      <c r="U2" s="5"/>
    </row>
    <row r="3" spans="1:21" x14ac:dyDescent="0.3">
      <c r="A3" s="18" t="s">
        <v>39</v>
      </c>
      <c r="B3" s="27">
        <f>Inputs!B3</f>
        <v>10000000</v>
      </c>
    </row>
    <row r="4" spans="1:21" x14ac:dyDescent="0.3">
      <c r="A4" s="18" t="s">
        <v>46</v>
      </c>
      <c r="B4" s="27">
        <f>Inputs!B4</f>
        <v>0</v>
      </c>
    </row>
    <row r="5" spans="1:21" x14ac:dyDescent="0.3">
      <c r="A5" s="18" t="s">
        <v>79</v>
      </c>
      <c r="B5" s="27">
        <f>Inputs!B5</f>
        <v>0</v>
      </c>
    </row>
    <row r="6" spans="1:21" x14ac:dyDescent="0.3">
      <c r="A6" s="18" t="s">
        <v>40</v>
      </c>
      <c r="B6" s="27">
        <f>Inputs!B6</f>
        <v>0</v>
      </c>
    </row>
    <row r="7" spans="1:21" x14ac:dyDescent="0.3">
      <c r="A7" s="18" t="s">
        <v>41</v>
      </c>
      <c r="B7" s="27">
        <f>Inputs!B7</f>
        <v>0</v>
      </c>
    </row>
    <row r="8" spans="1:21" x14ac:dyDescent="0.3">
      <c r="A8" s="18" t="s">
        <v>20</v>
      </c>
      <c r="B8" s="27">
        <f>Inputs!B8</f>
        <v>0</v>
      </c>
    </row>
    <row r="9" spans="1:21" x14ac:dyDescent="0.3">
      <c r="A9" s="18" t="s">
        <v>22</v>
      </c>
      <c r="B9" s="27">
        <f>Inputs!B9</f>
        <v>0</v>
      </c>
    </row>
    <row r="10" spans="1:21" x14ac:dyDescent="0.3">
      <c r="A10" s="18" t="s">
        <v>81</v>
      </c>
      <c r="B10" s="27">
        <f>Inputs!B10</f>
        <v>0</v>
      </c>
    </row>
    <row r="11" spans="1:21" x14ac:dyDescent="0.3">
      <c r="A11" s="18" t="s">
        <v>10</v>
      </c>
      <c r="B11" s="28">
        <f>SUM(B3:B10)</f>
        <v>10000000</v>
      </c>
    </row>
    <row r="12" spans="1:21" x14ac:dyDescent="0.3">
      <c r="A12" s="18" t="s">
        <v>80</v>
      </c>
      <c r="B12" s="27">
        <f>-MAX(B5,Rates!B5)</f>
        <v>0</v>
      </c>
    </row>
    <row r="13" spans="1:21" x14ac:dyDescent="0.3">
      <c r="A13" s="18" t="s">
        <v>19</v>
      </c>
      <c r="B13" s="27">
        <f>-MIN(B6,Rates!B5)</f>
        <v>0</v>
      </c>
    </row>
    <row r="14" spans="1:21" x14ac:dyDescent="0.3">
      <c r="A14" s="18" t="s">
        <v>18</v>
      </c>
      <c r="B14" s="27">
        <f>-MIN(B7,Rates!$B$7)</f>
        <v>0</v>
      </c>
    </row>
    <row r="15" spans="1:21" x14ac:dyDescent="0.3">
      <c r="A15" s="18" t="s">
        <v>21</v>
      </c>
      <c r="B15" s="27">
        <f>-MAX(B8,Rates!$B$4)</f>
        <v>0</v>
      </c>
    </row>
    <row r="16" spans="1:21" x14ac:dyDescent="0.3">
      <c r="A16" s="18" t="s">
        <v>23</v>
      </c>
      <c r="B16" s="27">
        <f>-B9</f>
        <v>0</v>
      </c>
    </row>
    <row r="17" spans="1:3" x14ac:dyDescent="0.3">
      <c r="A17" s="18" t="s">
        <v>82</v>
      </c>
      <c r="B17" s="27">
        <f>-MAX(B10,Rates!B9)</f>
        <v>0</v>
      </c>
    </row>
    <row r="18" spans="1:3" x14ac:dyDescent="0.3">
      <c r="A18" s="18" t="s">
        <v>87</v>
      </c>
      <c r="B18" s="28">
        <f>-(IF(AND(B11&gt;=Rates!A26,B11&lt;=Rates!B26),Rates!C26,0)+IF(AND(B11&gt;=Rates!A27,B11&lt;=Rates!B27),Rates!C27,0)+IF(AND(B11&gt;=Rates!A28,B11&lt;=Rates!B28),Rates!C28,0)++IF(AND(B11&gt;=Rates!A29,B11&lt;=Rates!B29),Rates!C29,0)+IF(AND(B11&gt;=Rates!A30,B11&lt;=Rates!B30),Rates!C31,0)+IF(AND(B11&gt;=Rates!A32,B11&lt;=Rates!B32),Rates!C32,0)+IF(AND(B11&gt;=Rates!A33,B11&lt;=Rates!B33),Rates!C33,0)+IF(AND(B11&gt;=Rates!A34,B11&lt;=Rates!B34),Rates!C34,0)+IF(AND(B11&gt;=Rates!A35,B11&lt;=Rates!B35),Rates!C35,0)+IF(B11&gt;=Rates!B36,Rates!C36,0))</f>
        <v>-100000</v>
      </c>
    </row>
    <row r="19" spans="1:3" x14ac:dyDescent="0.3">
      <c r="A19" s="18" t="s">
        <v>10</v>
      </c>
      <c r="B19" s="28">
        <f>SUM(B11:B18)</f>
        <v>9900000</v>
      </c>
    </row>
    <row r="20" spans="1:3" x14ac:dyDescent="0.3">
      <c r="A20" s="18" t="s">
        <v>83</v>
      </c>
      <c r="B20" s="27">
        <f>-Rates!B11*B11</f>
        <v>-500000</v>
      </c>
      <c r="C20" s="5"/>
    </row>
    <row r="21" spans="1:3" x14ac:dyDescent="0.3">
      <c r="A21" s="18" t="s">
        <v>74</v>
      </c>
      <c r="B21" s="27">
        <f>-Rates!B10*B11</f>
        <v>-1000000</v>
      </c>
      <c r="C21" s="5"/>
    </row>
    <row r="22" spans="1:3" x14ac:dyDescent="0.3">
      <c r="A22" s="18" t="s">
        <v>11</v>
      </c>
      <c r="B22" s="27">
        <f>IF(B19&gt;Rates!B18,Rates!D18,0)+IF(B19&gt;Rates!B19,Rates!D19,0)+IF(B19&gt;Rates!B20,Rates!D20,0)+IF(B19&gt;Rates!B21,Rates!D21,0)+IF(B19&gt;Rates!B21,(B19-Rates!B21)*Rates!C22,0)+IF(B19&lt;Rates!B18,B19*Rates!C18)+IF(AND(B19&gt;=Rates!A19,B19&lt;Rates!B19),(B19-Rates!A19)*Rates!C19,0)+IF(AND(B19&gt;=Rates!A20,B19&lt;Rates!B20),(B19-Rates!A20)*Rates!C20,0)+IF(AND(B19&gt;=Rates!A21,B19&lt;Rates!B21),(B19-Rates!A21)*Rates!C21,0)</f>
        <v>2871999.6999999997</v>
      </c>
    </row>
    <row r="23" spans="1:3" x14ac:dyDescent="0.3">
      <c r="A23" s="18" t="s">
        <v>0</v>
      </c>
      <c r="B23" s="27">
        <f>Rates!B2</f>
        <v>0</v>
      </c>
    </row>
    <row r="24" spans="1:3" x14ac:dyDescent="0.3">
      <c r="A24" s="18" t="s">
        <v>1</v>
      </c>
      <c r="B24" s="27">
        <f>Rates!B3</f>
        <v>0</v>
      </c>
    </row>
    <row r="25" spans="1:3" x14ac:dyDescent="0.3">
      <c r="A25" s="18" t="s">
        <v>12</v>
      </c>
      <c r="B25" s="28">
        <f>MAX(B22-B23-B24,0)</f>
        <v>2871999.6999999997</v>
      </c>
      <c r="C25" s="5"/>
    </row>
    <row r="26" spans="1:3" x14ac:dyDescent="0.3">
      <c r="A26" s="18" t="s">
        <v>13</v>
      </c>
      <c r="B26" s="29">
        <f>B19+B20-B25</f>
        <v>6528000.3000000007</v>
      </c>
    </row>
    <row r="27" spans="1:3" x14ac:dyDescent="0.3">
      <c r="A27" s="18" t="s">
        <v>27</v>
      </c>
      <c r="B27" s="30">
        <f ca="1">ROUND(B26*Inputs!B11/Rates!B13,0)</f>
        <v>6528000</v>
      </c>
      <c r="C27" t="s">
        <v>38</v>
      </c>
    </row>
    <row r="28" spans="1:3" x14ac:dyDescent="0.3">
      <c r="A28" s="18" t="s">
        <v>36</v>
      </c>
      <c r="B28" s="31">
        <f>ROUND(IFERROR(B26*Rates!B14,0),0)</f>
        <v>3916800</v>
      </c>
      <c r="C28" t="s">
        <v>37</v>
      </c>
    </row>
    <row r="29" spans="1:3" x14ac:dyDescent="0.3">
      <c r="A29" s="18" t="s">
        <v>33</v>
      </c>
      <c r="B29" s="32">
        <f ca="1">IFERROR(MIN(B27:B28),0)</f>
        <v>3916800</v>
      </c>
      <c r="C29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F1A5-D196-49BB-BAFE-4B6AA11D6DB5}">
  <dimension ref="A1:B9"/>
  <sheetViews>
    <sheetView tabSelected="1" workbookViewId="0">
      <selection activeCell="F10" sqref="F10"/>
    </sheetView>
  </sheetViews>
  <sheetFormatPr defaultRowHeight="14.4" x14ac:dyDescent="0.3"/>
  <cols>
    <col min="1" max="1" width="21.33203125" bestFit="1" customWidth="1"/>
    <col min="2" max="2" width="10.44140625" bestFit="1" customWidth="1"/>
  </cols>
  <sheetData>
    <row r="1" spans="1:2" x14ac:dyDescent="0.3">
      <c r="A1" s="9" t="s">
        <v>139</v>
      </c>
      <c r="B1" s="9"/>
    </row>
    <row r="2" spans="1:2" x14ac:dyDescent="0.3">
      <c r="A2" s="34" t="s">
        <v>27</v>
      </c>
      <c r="B2" s="30">
        <f ca="1">Workings!B27</f>
        <v>6528000</v>
      </c>
    </row>
    <row r="3" spans="1:2" x14ac:dyDescent="0.3">
      <c r="A3" s="34" t="s">
        <v>36</v>
      </c>
      <c r="B3" s="31">
        <f>Workings!B28</f>
        <v>3916800</v>
      </c>
    </row>
    <row r="4" spans="1:2" x14ac:dyDescent="0.3">
      <c r="A4" s="34" t="s">
        <v>33</v>
      </c>
      <c r="B4" s="30">
        <f ca="1">Workings!B29</f>
        <v>3916800</v>
      </c>
    </row>
    <row r="5" spans="1:2" x14ac:dyDescent="0.3">
      <c r="A5" s="9" t="s">
        <v>142</v>
      </c>
      <c r="B5" s="9"/>
    </row>
    <row r="6" spans="1:2" x14ac:dyDescent="0.3">
      <c r="A6" s="34" t="s">
        <v>141</v>
      </c>
      <c r="B6" s="35">
        <f>-Workings!B18</f>
        <v>100000</v>
      </c>
    </row>
    <row r="7" spans="1:2" x14ac:dyDescent="0.3">
      <c r="A7" s="34" t="s">
        <v>83</v>
      </c>
      <c r="B7" s="35">
        <f>-Workings!B20</f>
        <v>500000</v>
      </c>
    </row>
    <row r="8" spans="1:2" x14ac:dyDescent="0.3">
      <c r="A8" s="34" t="s">
        <v>74</v>
      </c>
      <c r="B8" s="35">
        <f>-Workings!B21</f>
        <v>1000000</v>
      </c>
    </row>
    <row r="9" spans="1:2" x14ac:dyDescent="0.3">
      <c r="A9" s="34" t="s">
        <v>140</v>
      </c>
      <c r="B9" s="35">
        <f>Workings!B25</f>
        <v>2871999.6999999997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Rates</vt:lpstr>
      <vt:lpstr>Inputs</vt:lpstr>
      <vt:lpstr>Workings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Crawford</cp:lastModifiedBy>
  <dcterms:created xsi:type="dcterms:W3CDTF">2025-10-07T11:20:53Z</dcterms:created>
  <dcterms:modified xsi:type="dcterms:W3CDTF">2025-11-03T06:13:40Z</dcterms:modified>
</cp:coreProperties>
</file>